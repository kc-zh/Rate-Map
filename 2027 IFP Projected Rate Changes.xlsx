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KellanCampbell\Downloads\"/>
    </mc:Choice>
  </mc:AlternateContent>
  <xr:revisionPtr revIDLastSave="0" documentId="8_{4BC559C5-4A38-4CCD-B2C0-0D390884A28B}" xr6:coauthVersionLast="47" xr6:coauthVersionMax="47" xr10:uidLastSave="{00000000-0000-0000-0000-000000000000}"/>
  <bookViews>
    <workbookView xWindow="-28815" yWindow="-17775" windowWidth="29040" windowHeight="15720" xr2:uid="{220D679B-B49B-424C-84FF-7B818EB486FF}"/>
  </bookViews>
  <sheets>
    <sheet name="2027" sheetId="5" r:id="rId1"/>
    <sheet name="2026" sheetId="1" r:id="rId2"/>
    <sheet name="2027-OLD" sheetId="3" r:id="rId3"/>
    <sheet name="2027 prelim sources" sheetId="2" r:id="rId4"/>
    <sheet name="State Checker" sheetId="4" r:id="rId5"/>
  </sheets>
  <definedNames>
    <definedName name="_xlnm._FilterDatabase" localSheetId="0" hidden="1">'2027'!$A$1:$I$316</definedName>
    <definedName name="_xlnm._FilterDatabase" localSheetId="2" hidden="1">'2027-OLD'!$A$1:$L$321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8" i="3" l="1"/>
  <c r="F6" i="3"/>
  <c r="F183" i="3"/>
  <c r="F141" i="3"/>
  <c r="F153" i="3"/>
  <c r="F90" i="3"/>
  <c r="F146" i="3"/>
  <c r="F155" i="3"/>
  <c r="F161" i="3"/>
  <c r="F67" i="3"/>
  <c r="F173" i="3"/>
  <c r="F177" i="3"/>
  <c r="F199" i="3"/>
  <c r="F204" i="3"/>
  <c r="F207" i="3"/>
  <c r="F65" i="3"/>
  <c r="F43" i="3"/>
  <c r="F38" i="3"/>
  <c r="F12" i="3"/>
  <c r="F218" i="3"/>
  <c r="F2" i="3"/>
  <c r="F19" i="3"/>
  <c r="F243" i="3"/>
  <c r="F251" i="3"/>
  <c r="F254" i="3"/>
  <c r="F260" i="3"/>
  <c r="F277" i="3"/>
  <c r="F283" i="3"/>
  <c r="F285" i="3"/>
  <c r="F320" i="3"/>
  <c r="F308" i="3"/>
  <c r="F306" i="3"/>
  <c r="F35" i="3"/>
  <c r="F99" i="3"/>
  <c r="F105" i="3"/>
  <c r="F56" i="3"/>
  <c r="F30" i="3"/>
  <c r="F228" i="3"/>
</calcChain>
</file>

<file path=xl/sharedStrings.xml><?xml version="1.0" encoding="utf-8"?>
<sst xmlns="http://schemas.openxmlformats.org/spreadsheetml/2006/main" count="3107" uniqueCount="1210">
  <si>
    <t>State</t>
  </si>
  <si>
    <t>Carrier Name</t>
  </si>
  <si>
    <t>HIOS</t>
  </si>
  <si>
    <t>Effective Date</t>
  </si>
  <si>
    <t>Requested Rate Change</t>
  </si>
  <si>
    <t>Projected Average State Increase</t>
  </si>
  <si>
    <t>Final Rate Change</t>
  </si>
  <si>
    <t>Range of Rate Change</t>
  </si>
  <si>
    <t>Status</t>
  </si>
  <si>
    <t>AL</t>
  </si>
  <si>
    <t xml:space="preserve">Blue Cross and Blue Shield of Alabama </t>
  </si>
  <si>
    <t>12.10% to 22.34%</t>
  </si>
  <si>
    <t>Submission Filed</t>
  </si>
  <si>
    <t xml:space="preserve">Celtic Insurance Company </t>
  </si>
  <si>
    <t>15.96% to 31.41%</t>
  </si>
  <si>
    <t xml:space="preserve">UnitedHealthcare Insurance Company </t>
  </si>
  <si>
    <t>10.88% to 25.64%</t>
  </si>
  <si>
    <t>AK</t>
  </si>
  <si>
    <t>Moda Health Plan, Inc.</t>
  </si>
  <si>
    <t>-0.91% to 1.03%</t>
  </si>
  <si>
    <t xml:space="preserve">Premera Blue Cross Blue Shield of Alaska </t>
  </si>
  <si>
    <t>-4.54% to 3.22%</t>
  </si>
  <si>
    <t>AZ</t>
  </si>
  <si>
    <t xml:space="preserve">Antidote Health Plan of Arizona </t>
  </si>
  <si>
    <t>3.37% to 11.89%</t>
  </si>
  <si>
    <t xml:space="preserve">Arizona Complete Health </t>
  </si>
  <si>
    <t>43.29% to 55.34%</t>
  </si>
  <si>
    <t xml:space="preserve">Blue Cross Blue Shield of Arizona, Inc. </t>
  </si>
  <si>
    <t>14.65% to 38.61%</t>
  </si>
  <si>
    <t>Cigna HealthCare of Arizona, Inc</t>
  </si>
  <si>
    <t>16.92% to 42.70%</t>
  </si>
  <si>
    <t>Imperial Insurance Companies, Inc</t>
  </si>
  <si>
    <t>0.97% to 14.28%</t>
  </si>
  <si>
    <t xml:space="preserve">Oscar Health Plan, Inc. </t>
  </si>
  <si>
    <t>8.13% to 21.84%</t>
  </si>
  <si>
    <t xml:space="preserve">UnitedHealthcare of Arizona, Inc. </t>
  </si>
  <si>
    <t>41.29% to 53.76%</t>
  </si>
  <si>
    <t>AR</t>
  </si>
  <si>
    <t>11.39% to 52.14%</t>
  </si>
  <si>
    <t xml:space="preserve">HMO Partners, Inc. d/b/a Health Advantage </t>
  </si>
  <si>
    <t>51.33%%</t>
  </si>
  <si>
    <t>13.74% to 60.72%</t>
  </si>
  <si>
    <t xml:space="preserve">QCA Health Plan, Inc. </t>
  </si>
  <si>
    <t>10.17% to 58.21%</t>
  </si>
  <si>
    <t>QualChoice Life &amp; Health Insurance Company, Inc.</t>
  </si>
  <si>
    <t>11.29% to 57.02%</t>
  </si>
  <si>
    <t xml:space="preserve">USAble HMO, Inc. d/b/a Octave </t>
  </si>
  <si>
    <t>13.03% to 53.48%</t>
  </si>
  <si>
    <t xml:space="preserve">USAble Mutual Insurance Company </t>
  </si>
  <si>
    <t>11.53% to 63.04%</t>
  </si>
  <si>
    <t>CA</t>
  </si>
  <si>
    <t>Anthem Blue Cross (licensed by DMHC) </t>
  </si>
  <si>
    <t>11.90% to 17.82%</t>
  </si>
  <si>
    <t>California Physicians' Services dba Blue Shield of California</t>
  </si>
  <si>
    <t>-18.06% to 10.49%</t>
  </si>
  <si>
    <t>Chinese Community Health Plan</t>
  </si>
  <si>
    <t>5.81% to 11.29%</t>
  </si>
  <si>
    <t>County of Santa Clara dba Valley Health Plan </t>
  </si>
  <si>
    <t>9.75% to 26.07%</t>
  </si>
  <si>
    <t>Health Net of California </t>
  </si>
  <si>
    <t>7.61% to 22.91%</t>
  </si>
  <si>
    <t>Inland Empire Health Plan</t>
  </si>
  <si>
    <t>17.91% to 17.91%</t>
  </si>
  <si>
    <t>Kaiser Foundation Health Plan, Inc. </t>
  </si>
  <si>
    <t>2.92% to 10.33%</t>
  </si>
  <si>
    <t>Local Initiative Health Authority for Los Angeles County, dba L.A. Care Health Plan </t>
  </si>
  <si>
    <t>10.29% to 12.73%</t>
  </si>
  <si>
    <t>Molina Healthcare of California, Inc</t>
  </si>
  <si>
    <t>10.87% to 17.17%</t>
  </si>
  <si>
    <t>Sharp Health Plan</t>
  </si>
  <si>
    <t>7.89% to 10.24%</t>
  </si>
  <si>
    <t>Sutter Health Plan </t>
  </si>
  <si>
    <t>16.98% to 19.25%</t>
  </si>
  <si>
    <t>Western Health Advantage </t>
  </si>
  <si>
    <t>12.37% to 18.20%</t>
  </si>
  <si>
    <t>CO</t>
  </si>
  <si>
    <t xml:space="preserve">Cigna Health and Life Insurance Company </t>
  </si>
  <si>
    <t>23.78% to 37.70%</t>
  </si>
  <si>
    <t>Denver Health Medical Plan, Inc</t>
  </si>
  <si>
    <t>18.84% to 30.62%</t>
  </si>
  <si>
    <t>HMO Colorado, Inc.</t>
  </si>
  <si>
    <t>26.68% to 50.58%</t>
  </si>
  <si>
    <t>Kaiser Foundation Health Plan of Colorado</t>
  </si>
  <si>
    <t>0.83% to 19.74%</t>
  </si>
  <si>
    <t xml:space="preserve">Rocky Mountain Health Maintenance Organization, Incorporated </t>
  </si>
  <si>
    <t>29.07% to 52.43%</t>
  </si>
  <si>
    <t xml:space="preserve">SelectHealth </t>
  </si>
  <si>
    <t>14.50% to 24.40%</t>
  </si>
  <si>
    <t>CT</t>
  </si>
  <si>
    <t xml:space="preserve">Anthem Health Plans, Inc. </t>
  </si>
  <si>
    <t>6.40% to 22.77%</t>
  </si>
  <si>
    <t>ConnectiCare Benefits, Inc.</t>
  </si>
  <si>
    <t>4.72% to 26.74%</t>
  </si>
  <si>
    <t>ConnectiCare, Inc.</t>
  </si>
  <si>
    <t>-0.91% to 6.70%</t>
  </si>
  <si>
    <t>ConnectiCare Insurance Company, Inc.</t>
  </si>
  <si>
    <t>5.91% to 28.58%</t>
  </si>
  <si>
    <t>DE</t>
  </si>
  <si>
    <t xml:space="preserve">AmeriHealth Caritas VIP Next, Inc. </t>
  </si>
  <si>
    <t>0.00% to 50.82%</t>
  </si>
  <si>
    <t>29.29% to 41.91%</t>
  </si>
  <si>
    <t xml:space="preserve">Highmark BCBSD Inc. </t>
  </si>
  <si>
    <t>27.82% to 34.57%</t>
  </si>
  <si>
    <t>DC</t>
  </si>
  <si>
    <t xml:space="preserve">CareFirst BlueChoice, Inc. </t>
  </si>
  <si>
    <t>-1.83% to 5.61%</t>
  </si>
  <si>
    <t xml:space="preserve">GHMSI, Inc. </t>
  </si>
  <si>
    <t>11.15% to 14.86%</t>
  </si>
  <si>
    <t xml:space="preserve">Kaiser Foundation Health Plan of the Mid-Atlantic States, Inc. </t>
  </si>
  <si>
    <t>8.82% to 16.10%</t>
  </si>
  <si>
    <t>FL</t>
  </si>
  <si>
    <t xml:space="preserve">AmeriHealth Caritas Florida, Inc. </t>
  </si>
  <si>
    <t>24.60% to 40.45%</t>
  </si>
  <si>
    <t xml:space="preserve">AvMed, Inc. </t>
  </si>
  <si>
    <t>16.07% to 30.14%</t>
  </si>
  <si>
    <t xml:space="preserve">Blue Cross Blue Shield of Florida </t>
  </si>
  <si>
    <t>22.63% to 27.57%</t>
  </si>
  <si>
    <t xml:space="preserve">Capital Health Plan </t>
  </si>
  <si>
    <t>17.07% to 35.60%</t>
  </si>
  <si>
    <t xml:space="preserve">Centene Venture Company Florida </t>
  </si>
  <si>
    <t>0.00% to 27.86%</t>
  </si>
  <si>
    <t>12.72% to 35.15%</t>
  </si>
  <si>
    <t xml:space="preserve">Florida Health Care Plan, Inc. </t>
  </si>
  <si>
    <t>10.07% to 37.02%</t>
  </si>
  <si>
    <t xml:space="preserve">Health First Commercial Plans, Inc. </t>
  </si>
  <si>
    <t>12.29% to 25.07%</t>
  </si>
  <si>
    <t xml:space="preserve">Health Options, Inc. </t>
  </si>
  <si>
    <t>-3.57% to 47.58%</t>
  </si>
  <si>
    <t xml:space="preserve">Molina Healthcare of Florida, Inc </t>
  </si>
  <si>
    <t>35.02% to 52.12%</t>
  </si>
  <si>
    <t xml:space="preserve">Oscar Insurance Company of Florida </t>
  </si>
  <si>
    <t>0.00% to 27.71%</t>
  </si>
  <si>
    <t xml:space="preserve">Simply Healthcare Plans, Inc. doing business as Wellpoint Florida, Inc. </t>
  </si>
  <si>
    <t>20.10% to 27.85%</t>
  </si>
  <si>
    <t xml:space="preserve">Sunshine State Health Plan, Inc. </t>
  </si>
  <si>
    <t>0.00% to 35.58%</t>
  </si>
  <si>
    <t>UnitedHealthcare of Florida, Inc.</t>
  </si>
  <si>
    <t>21.55% to 34.97%</t>
  </si>
  <si>
    <t>GA</t>
  </si>
  <si>
    <t xml:space="preserve">Alliant Health Plans </t>
  </si>
  <si>
    <t>13.60% to 25.37%</t>
  </si>
  <si>
    <t xml:space="preserve">Ambetter of Peach State Inc. </t>
  </si>
  <si>
    <t>32.35% to 46.63%</t>
  </si>
  <si>
    <t xml:space="preserve">AMGP Georgia Managed Care Company, Inc. </t>
  </si>
  <si>
    <t>16.30% to 36.71%</t>
  </si>
  <si>
    <t xml:space="preserve">Blue Cross Blue Shield Healthcare Plan of Georgia, Inc. </t>
  </si>
  <si>
    <t>16.08% to 31.81%</t>
  </si>
  <si>
    <t xml:space="preserve">CareSource Georgia Co. </t>
  </si>
  <si>
    <t>5.32% to 18.22%</t>
  </si>
  <si>
    <t xml:space="preserve">Cigna HealthCare of Georgia </t>
  </si>
  <si>
    <t>35.22% to 62.07%</t>
  </si>
  <si>
    <t xml:space="preserve">Kaiser Foundation Health Plan of Georgia </t>
  </si>
  <si>
    <t>8.48% to 20.16%</t>
  </si>
  <si>
    <t xml:space="preserve">Oscar Health Plan of Georgia </t>
  </si>
  <si>
    <t>0.00% to 36.11%</t>
  </si>
  <si>
    <t xml:space="preserve">Peach State Health Plan, Inc. </t>
  </si>
  <si>
    <t>20.40% to 34.27%</t>
  </si>
  <si>
    <t xml:space="preserve">UnitedHealthcare of Georgia, Inc. </t>
  </si>
  <si>
    <t>24.91% to 58.66%</t>
  </si>
  <si>
    <t>HI</t>
  </si>
  <si>
    <t xml:space="preserve">Hawaii Medical Service Association </t>
  </si>
  <si>
    <t>10.95% to 16.36%</t>
  </si>
  <si>
    <t xml:space="preserve">Kaiser Foundation Health Plan, Inc - Hawaii </t>
  </si>
  <si>
    <t>7.73% to 12.30%</t>
  </si>
  <si>
    <t>ID</t>
  </si>
  <si>
    <t xml:space="preserve">Blue Cross of Idaho Health Service, Inc. </t>
  </si>
  <si>
    <t>0.00% to 22.29%</t>
  </si>
  <si>
    <t xml:space="preserve">Moda Health Plan, Inc </t>
  </si>
  <si>
    <t>6.52% to 8.90%</t>
  </si>
  <si>
    <t xml:space="preserve">Molina Healthcare of Idaho, Inc. </t>
  </si>
  <si>
    <t>11.77% to 23.22%</t>
  </si>
  <si>
    <t xml:space="preserve">Mountain Health Cooperative </t>
  </si>
  <si>
    <t>-15.85% to 17.22%</t>
  </si>
  <si>
    <t xml:space="preserve">PacificSource Health Plans </t>
  </si>
  <si>
    <t>11.74% to 17.13%</t>
  </si>
  <si>
    <t xml:space="preserve">Regence BlueShield of Idaho </t>
  </si>
  <si>
    <t>6.10% to 10.88%</t>
  </si>
  <si>
    <t>1.45% to 11.50%</t>
  </si>
  <si>
    <t xml:space="preserve">St. Luke's Health Plan </t>
  </si>
  <si>
    <t>6.32% to 9.15%</t>
  </si>
  <si>
    <t>IL</t>
  </si>
  <si>
    <t xml:space="preserve">Blue Cross and Blue Shield of Illinois </t>
  </si>
  <si>
    <t>-6.86% to 62.24%</t>
  </si>
  <si>
    <t>15.32% to 45.47%</t>
  </si>
  <si>
    <t xml:space="preserve">Cigna HealthCare of Illinois, Inc. </t>
  </si>
  <si>
    <t>-6.03% to 17.67%</t>
  </si>
  <si>
    <t xml:space="preserve">MercyCare HMO, Inc. </t>
  </si>
  <si>
    <t>-13.54% to 21.06%</t>
  </si>
  <si>
    <t xml:space="preserve">Molina Healthcare of Illinois, Inc </t>
  </si>
  <si>
    <t>-1.71% to 27.01%</t>
  </si>
  <si>
    <t>-5.97% to 29.38%</t>
  </si>
  <si>
    <t xml:space="preserve">UnitedHealthcare of Illinois, Inc. </t>
  </si>
  <si>
    <t>-2.57% to 36.58%</t>
  </si>
  <si>
    <t>IN</t>
  </si>
  <si>
    <t xml:space="preserve">Anthem Insurance Companies, Inc. </t>
  </si>
  <si>
    <t>0.00% to 34.25%</t>
  </si>
  <si>
    <t xml:space="preserve">CareSource Indiana, Inc. </t>
  </si>
  <si>
    <t>-1.43% to 37.29%</t>
  </si>
  <si>
    <t>12.39% to 30.44%</t>
  </si>
  <si>
    <t>29.29% to 48.55%</t>
  </si>
  <si>
    <t xml:space="preserve">Coordinated Care Corporation </t>
  </si>
  <si>
    <t>39.70% to 48.82%</t>
  </si>
  <si>
    <t>33.92% to 45.48%</t>
  </si>
  <si>
    <t>IA</t>
  </si>
  <si>
    <t xml:space="preserve">Iowa Total Care </t>
  </si>
  <si>
    <t>24.54% to 34.95%</t>
  </si>
  <si>
    <t xml:space="preserve">Medica Insurance Company </t>
  </si>
  <si>
    <t>0.00% to 38.60%</t>
  </si>
  <si>
    <t xml:space="preserve">Oscar Insurance Company </t>
  </si>
  <si>
    <t>3.95% to 37.19%</t>
  </si>
  <si>
    <t xml:space="preserve">UnitedHealthcare Plan of the River Valley, Inc. </t>
  </si>
  <si>
    <t>17.27% to 22.35%</t>
  </si>
  <si>
    <t xml:space="preserve">Wellmark Health Plan of Iowa, Inc </t>
  </si>
  <si>
    <t>5.27% to 17.59%</t>
  </si>
  <si>
    <t>KS</t>
  </si>
  <si>
    <t xml:space="preserve">Blue Cross and Blue Shield of Kansas City </t>
  </si>
  <si>
    <t>-11.55% to 1.84%</t>
  </si>
  <si>
    <t xml:space="preserve">Blue Cross and Blue Shield of Kansas, Inc. </t>
  </si>
  <si>
    <t>8.90% to 20.83%</t>
  </si>
  <si>
    <t>36.55% to 45.93%</t>
  </si>
  <si>
    <t>22.36% to 37.39%</t>
  </si>
  <si>
    <t>12.76% to 17.88%</t>
  </si>
  <si>
    <t>5.60% to 16.16%</t>
  </si>
  <si>
    <t>KY</t>
  </si>
  <si>
    <t xml:space="preserve">Anthem Health Plans of Kentucky, Inc. </t>
  </si>
  <si>
    <t>9.56% to 28.59%</t>
  </si>
  <si>
    <t xml:space="preserve">Molina Healthcare of Kentucky, Inc. </t>
  </si>
  <si>
    <t>12.94% to 15.46%</t>
  </si>
  <si>
    <t xml:space="preserve">WellCare Health Plans of Kentucky </t>
  </si>
  <si>
    <t>33.75% to 44.90%</t>
  </si>
  <si>
    <t>LA</t>
  </si>
  <si>
    <t xml:space="preserve">Ambetter Health of Louisiana </t>
  </si>
  <si>
    <t>19.23% to 27.18%</t>
  </si>
  <si>
    <t xml:space="preserve">HMO Louisiana, Inc. </t>
  </si>
  <si>
    <t>18.72% to 28.45%</t>
  </si>
  <si>
    <t xml:space="preserve">Louisiana Health Service &amp; Indemnity Company </t>
  </si>
  <si>
    <t>24.03% to 40.70%</t>
  </si>
  <si>
    <t>18.99% to 26.12%</t>
  </si>
  <si>
    <t>ME</t>
  </si>
  <si>
    <t xml:space="preserve">Anthem Health Plans of Maine, Inc. </t>
  </si>
  <si>
    <t>0.00% to 35.06%</t>
  </si>
  <si>
    <t xml:space="preserve">Harvard Pilgrim Healthcare, Inc. </t>
  </si>
  <si>
    <t>11.37% to 26.37%</t>
  </si>
  <si>
    <t xml:space="preserve">HPHC Insurance Co. </t>
  </si>
  <si>
    <t>13.07% to 25.67%</t>
  </si>
  <si>
    <t xml:space="preserve">Maine Community Health Options </t>
  </si>
  <si>
    <t>17.56% to 35.01%</t>
  </si>
  <si>
    <t xml:space="preserve">Taro Health </t>
  </si>
  <si>
    <t>30.77% to 36.18%</t>
  </si>
  <si>
    <t>MD</t>
  </si>
  <si>
    <t>9.98% to 20.71%</t>
  </si>
  <si>
    <t xml:space="preserve">CFMI, Inc. </t>
  </si>
  <si>
    <t>13.06% to 16.38%</t>
  </si>
  <si>
    <t xml:space="preserve">Kaiser Foundation Health Plan of the Mid-Atlantic States </t>
  </si>
  <si>
    <t>8.47% to 16.32%</t>
  </si>
  <si>
    <t xml:space="preserve">Optimum Choice, Inc. </t>
  </si>
  <si>
    <t>9.76% to 22.25%</t>
  </si>
  <si>
    <t xml:space="preserve">Wellpoint Maryland, Inc. </t>
  </si>
  <si>
    <t>4.23% to 8.38%</t>
  </si>
  <si>
    <t>MA</t>
  </si>
  <si>
    <t xml:space="preserve">Blue Cross and Blue Shield of Massachusetts HMO Blue, Inc </t>
  </si>
  <si>
    <t>9.49% to 15.60%</t>
  </si>
  <si>
    <t xml:space="preserve">Fallon Community Health Plan </t>
  </si>
  <si>
    <t>6.12% to 11.74%</t>
  </si>
  <si>
    <t>3.91% to 28.84%</t>
  </si>
  <si>
    <t xml:space="preserve">Health New England </t>
  </si>
  <si>
    <t>0.53% to 12.83%</t>
  </si>
  <si>
    <t xml:space="preserve">Mass General Brigham Health Plan </t>
  </si>
  <si>
    <t>3.42% to 8.26%</t>
  </si>
  <si>
    <t xml:space="preserve">Tufts Health Public Plans, Inc. </t>
  </si>
  <si>
    <t>3.18% to 15.48%</t>
  </si>
  <si>
    <t>-100.00% to 9.81%</t>
  </si>
  <si>
    <t xml:space="preserve">WellSense Health Plan </t>
  </si>
  <si>
    <t>13.68% to 17.50%</t>
  </si>
  <si>
    <t>MI</t>
  </si>
  <si>
    <t xml:space="preserve">Alliance Health and Life Insurance Company </t>
  </si>
  <si>
    <t>0.27% to 17.54%</t>
  </si>
  <si>
    <t xml:space="preserve">Blue Care Network of Michigan </t>
  </si>
  <si>
    <t>12.49% to 24.65%</t>
  </si>
  <si>
    <t xml:space="preserve">Blue Cross Blue Shield of Michigan </t>
  </si>
  <si>
    <t>14.70% to 22.52%</t>
  </si>
  <si>
    <t xml:space="preserve">HAP CareSource </t>
  </si>
  <si>
    <t>14.00% to 25.95%</t>
  </si>
  <si>
    <t xml:space="preserve">Health Alliance Plan of Michigan </t>
  </si>
  <si>
    <t>0.01% to 15.79%</t>
  </si>
  <si>
    <t xml:space="preserve">McLaren Health Plan Community </t>
  </si>
  <si>
    <t>11.20% to 22.80%</t>
  </si>
  <si>
    <t xml:space="preserve">Meridian Health Plan of Michigan </t>
  </si>
  <si>
    <t>10.55% to 26.69%</t>
  </si>
  <si>
    <t xml:space="preserve">Molina Healthcare of Michigan, Inc. </t>
  </si>
  <si>
    <t>13.38% to 24.66%</t>
  </si>
  <si>
    <t>-1.80% to 10.70%</t>
  </si>
  <si>
    <t xml:space="preserve">Priority Health </t>
  </si>
  <si>
    <t>4.49% to 22.96%</t>
  </si>
  <si>
    <t xml:space="preserve">UHC Community Plan, Inc. </t>
  </si>
  <si>
    <t>20.82% to 30.17%</t>
  </si>
  <si>
    <t>MN</t>
  </si>
  <si>
    <t xml:space="preserve">HealthPartners Insurance Company </t>
  </si>
  <si>
    <t>14.39% to 20.62%</t>
  </si>
  <si>
    <t xml:space="preserve">HealthPartners, Inc. </t>
  </si>
  <si>
    <t>7.18 to 17.59%</t>
  </si>
  <si>
    <t>HMO MINNESOTA (BLUE CROSS MN)</t>
  </si>
  <si>
    <t>6.45% to 33.98%</t>
  </si>
  <si>
    <t>13.29% to 46.01%</t>
  </si>
  <si>
    <t xml:space="preserve">Quartz Health Plan Minnesota Corporation </t>
  </si>
  <si>
    <t>0.94% to 12.27%</t>
  </si>
  <si>
    <t xml:space="preserve">UCare Minnesota </t>
  </si>
  <si>
    <t>17.42% to 44.83%</t>
  </si>
  <si>
    <t>MS</t>
  </si>
  <si>
    <t xml:space="preserve">Ambetter of Magnolia Inc. </t>
  </si>
  <si>
    <t>37.62% to 47.19%</t>
  </si>
  <si>
    <t xml:space="preserve">Blue Cross &amp; Blue Shield of Mississippi </t>
  </si>
  <si>
    <t>19.66% to 30.64%</t>
  </si>
  <si>
    <t>0.00% to 31.13%</t>
  </si>
  <si>
    <t>28.31% to 35.45%</t>
  </si>
  <si>
    <t xml:space="preserve">Molina Healthcare of Mississippi, Inc </t>
  </si>
  <si>
    <t>15.71% to 57.29%</t>
  </si>
  <si>
    <t xml:space="preserve">UnitedHealthcare of Mississippi, Inc. </t>
  </si>
  <si>
    <t>19.47% to 27.94%</t>
  </si>
  <si>
    <t>MO</t>
  </si>
  <si>
    <t xml:space="preserve">Bankers Reserve Life Insurance Co. </t>
  </si>
  <si>
    <t>-5.00% to 6.42%</t>
  </si>
  <si>
    <t>-9.06% to 1.49%</t>
  </si>
  <si>
    <t>21.23% to 25.34%</t>
  </si>
  <si>
    <t xml:space="preserve">Cox Health Systems Insurance </t>
  </si>
  <si>
    <t>18.48% to 33.16%</t>
  </si>
  <si>
    <t xml:space="preserve">Healthy Alliance Life Insurance Company (HALIC) </t>
  </si>
  <si>
    <t>18.75% to 24.73%</t>
  </si>
  <si>
    <t>19.96% to 60.26%</t>
  </si>
  <si>
    <t>10.89% to 18.42%</t>
  </si>
  <si>
    <t xml:space="preserve">SSMHIC Insurance Company </t>
  </si>
  <si>
    <t>1.04% to 11.43%</t>
  </si>
  <si>
    <t>9.59% to 19.30%</t>
  </si>
  <si>
    <t>MT</t>
  </si>
  <si>
    <t xml:space="preserve">Blue Cross and Blue Shield of Montana </t>
  </si>
  <si>
    <t>0.92% to 42.47%</t>
  </si>
  <si>
    <t xml:space="preserve">Montana Health Cooperative </t>
  </si>
  <si>
    <t>21.15% to 27.65%</t>
  </si>
  <si>
    <t>2.11% to 13.23%</t>
  </si>
  <si>
    <t>NE</t>
  </si>
  <si>
    <t>18.72% to 29.08%</t>
  </si>
  <si>
    <t>0.86% to 12.14%</t>
  </si>
  <si>
    <t>21.50% to 42.07%</t>
  </si>
  <si>
    <t xml:space="preserve">Blue Cross and Blue Shield of Nebraska </t>
  </si>
  <si>
    <t>-1.14% to 33.34%</t>
  </si>
  <si>
    <t>NV</t>
  </si>
  <si>
    <t xml:space="preserve">Health Plan of Nevada </t>
  </si>
  <si>
    <t>11.99% to 28.13%</t>
  </si>
  <si>
    <t xml:space="preserve">HMO Colorado, Inc. dba HMO Nevada </t>
  </si>
  <si>
    <t>6.23% to 33.76%</t>
  </si>
  <si>
    <t xml:space="preserve">Hometown Health Plan Inc. </t>
  </si>
  <si>
    <t>-1.09% to 6.44%</t>
  </si>
  <si>
    <t xml:space="preserve">Hometown Health Providers Insurance Company </t>
  </si>
  <si>
    <t>-11.03% to -9.70%</t>
  </si>
  <si>
    <t xml:space="preserve">Imperial Insurance Companies Inc. </t>
  </si>
  <si>
    <t>3.73% to 14.43%</t>
  </si>
  <si>
    <t xml:space="preserve">Molina Healthcare of Nevada, Inc. </t>
  </si>
  <si>
    <t>17.76% to 19.24%</t>
  </si>
  <si>
    <t xml:space="preserve">Rocky Mountain Hospital and Medical Service, Inc. (PPO) </t>
  </si>
  <si>
    <t>12.95% to 12.95%</t>
  </si>
  <si>
    <t>12.00% to 28.10%</t>
  </si>
  <si>
    <t xml:space="preserve">Sierra Health and Life Insurance Co. </t>
  </si>
  <si>
    <t>16.19% to 26.78%</t>
  </si>
  <si>
    <t xml:space="preserve">SilverSummit Healthplan Inc. </t>
  </si>
  <si>
    <t>10.93% to 24.51%</t>
  </si>
  <si>
    <t>NH</t>
  </si>
  <si>
    <t xml:space="preserve">Anthem Health Plans of New Hampshire </t>
  </si>
  <si>
    <t>-29.77% to -19.07%</t>
  </si>
  <si>
    <t xml:space="preserve">Boston Medical Center Health Plan, Inc. </t>
  </si>
  <si>
    <t>5.14% to 12.92%</t>
  </si>
  <si>
    <t>30.79% to 43.94%</t>
  </si>
  <si>
    <t>32.60% to 54.80%</t>
  </si>
  <si>
    <t xml:space="preserve">Matthew Thornton Health Plan, Inc. </t>
  </si>
  <si>
    <t>14.44% to 34.03%</t>
  </si>
  <si>
    <t>NJ</t>
  </si>
  <si>
    <t>AmeriHealth HMO, Inc. </t>
  </si>
  <si>
    <t>16.82% to 16.82%</t>
  </si>
  <si>
    <t xml:space="preserve">AmeriHealth Insurance Company of New Jersey </t>
  </si>
  <si>
    <t>13.09% to 17.26%</t>
  </si>
  <si>
    <t xml:space="preserve">Horizon Healthcare Services, Inc. </t>
  </si>
  <si>
    <t>9.70% to 20.80%</t>
  </si>
  <si>
    <t xml:space="preserve">Oscar Garden State Insurance Corporation </t>
  </si>
  <si>
    <t>-0.26% to 7.12%</t>
  </si>
  <si>
    <t>16.53% to 22.76%</t>
  </si>
  <si>
    <t xml:space="preserve">WellCare Health Insurance Company of New Jersey, Inc. </t>
  </si>
  <si>
    <t>3.37% to 19.66%</t>
  </si>
  <si>
    <t>NM</t>
  </si>
  <si>
    <t xml:space="preserve">Blue Cross Blue Shield of New Mexico </t>
  </si>
  <si>
    <t>18.36% to 49.58%</t>
  </si>
  <si>
    <t xml:space="preserve">Molina Healthcare of New Mexico, Inc. </t>
  </si>
  <si>
    <t>5.49% to 31.33%</t>
  </si>
  <si>
    <t xml:space="preserve">Presbyterian Health Plan </t>
  </si>
  <si>
    <t>12.98% to 34.87%</t>
  </si>
  <si>
    <t xml:space="preserve">UnitedHealthcare of New Mexico </t>
  </si>
  <si>
    <t>36.31% to 64.38%</t>
  </si>
  <si>
    <t xml:space="preserve">NY </t>
  </si>
  <si>
    <t xml:space="preserve">Aetna Life Insurance Company </t>
  </si>
  <si>
    <t>18.00% to 58.04%</t>
  </si>
  <si>
    <t xml:space="preserve">Anthem HP, LLC </t>
  </si>
  <si>
    <t>0.00% to 15.18%</t>
  </si>
  <si>
    <t xml:space="preserve">CDPHP </t>
  </si>
  <si>
    <t>0.00% to 16.17%</t>
  </si>
  <si>
    <t>Excellus</t>
  </si>
  <si>
    <t xml:space="preserve">Health Insurance Plan of Greater New York (HIP) </t>
  </si>
  <si>
    <t>-12.87% to 1.33%</t>
  </si>
  <si>
    <t xml:space="preserve">Healthfirst PHSP, Inc. </t>
  </si>
  <si>
    <t>12.70% to 12.70%</t>
  </si>
  <si>
    <t xml:space="preserve">Highmark NY </t>
  </si>
  <si>
    <t>21.84% to 26.26%</t>
  </si>
  <si>
    <t xml:space="preserve">Independent Health Benefits Corporation </t>
  </si>
  <si>
    <t>26.32% to 48.68%</t>
  </si>
  <si>
    <t xml:space="preserve">MetroPlus </t>
  </si>
  <si>
    <t>7.94% to 15.79%</t>
  </si>
  <si>
    <t xml:space="preserve">MVP Health Plan, Inc. </t>
  </si>
  <si>
    <t>-58.14% to 34.01%</t>
  </si>
  <si>
    <t xml:space="preserve">New York Quality Healthcare Corporation </t>
  </si>
  <si>
    <t>2.19% to 12.21%</t>
  </si>
  <si>
    <t xml:space="preserve">Oscar Insurance Corporation </t>
  </si>
  <si>
    <t>15.33% to 18.09%</t>
  </si>
  <si>
    <t xml:space="preserve">UHC </t>
  </si>
  <si>
    <t>34.87% to 47.95%</t>
  </si>
  <si>
    <t xml:space="preserve">UHIC </t>
  </si>
  <si>
    <t>66.32% to 66.45%</t>
  </si>
  <si>
    <t>NC</t>
  </si>
  <si>
    <t xml:space="preserve">Ambetter of North Carolina Inc. </t>
  </si>
  <si>
    <t>12.72% to 32.40%</t>
  </si>
  <si>
    <t xml:space="preserve">AmeriHealth Caritas North Carolina, Inc. </t>
  </si>
  <si>
    <t>0.00% to 40.34%</t>
  </si>
  <si>
    <t xml:space="preserve">Blue Cross Blue Shield of North Carolina </t>
  </si>
  <si>
    <t>19.23% to 48.35%</t>
  </si>
  <si>
    <t xml:space="preserve">CareSource North Carolina Co. </t>
  </si>
  <si>
    <t>1.21% to 22.44%</t>
  </si>
  <si>
    <t xml:space="preserve">Cigna HealthCare of North Carolina, Inc. </t>
  </si>
  <si>
    <t>20.21% to 30.53%</t>
  </si>
  <si>
    <t xml:space="preserve">Oscar Health Plan of North Carolina, Inc. </t>
  </si>
  <si>
    <t>4.58% to 13.86%</t>
  </si>
  <si>
    <t xml:space="preserve">UnitedHealthcare of North Carolina, Inc. </t>
  </si>
  <si>
    <t>30.91% to 38.49%</t>
  </si>
  <si>
    <t>ND</t>
  </si>
  <si>
    <t xml:space="preserve">Blue Cross Blue Shield of North Dakota </t>
  </si>
  <si>
    <t>0.80% to 10.70%</t>
  </si>
  <si>
    <t xml:space="preserve">Medica Health Plans </t>
  </si>
  <si>
    <t>0.00% to 25.77%</t>
  </si>
  <si>
    <t xml:space="preserve">Sanford Health Plan </t>
  </si>
  <si>
    <t>-11.00% to 10.39%</t>
  </si>
  <si>
    <t>OH</t>
  </si>
  <si>
    <t xml:space="preserve">Antidote Health Plan of Ohio </t>
  </si>
  <si>
    <t>2.51% to 13.95%</t>
  </si>
  <si>
    <t xml:space="preserve">Buckeye Community Health Plan </t>
  </si>
  <si>
    <t>23.26% to 31.58%</t>
  </si>
  <si>
    <t xml:space="preserve">Buckeye Health Plan Community Solutions, Inc. </t>
  </si>
  <si>
    <t>19.14% to 33.34%</t>
  </si>
  <si>
    <t xml:space="preserve">CareSource </t>
  </si>
  <si>
    <t>5.26% to 20.82%</t>
  </si>
  <si>
    <t xml:space="preserve">Community Insurance Company </t>
  </si>
  <si>
    <t>14.40% to 31.57%</t>
  </si>
  <si>
    <t xml:space="preserve">Medical Health Insuring Corp of Ohio </t>
  </si>
  <si>
    <t>8.76% to 19.62%</t>
  </si>
  <si>
    <t xml:space="preserve">Molina Healthcare of Ohio, Inc. </t>
  </si>
  <si>
    <t>13.04% to 25.33%</t>
  </si>
  <si>
    <t xml:space="preserve">Oscar Buckeye State Insurance Corporation </t>
  </si>
  <si>
    <t>5.55% to 15.52%</t>
  </si>
  <si>
    <t xml:space="preserve">Oscar Insurance Corporation of Ohio </t>
  </si>
  <si>
    <t>14.41% to 19.48%</t>
  </si>
  <si>
    <t xml:space="preserve">Paramount Insurance Company </t>
  </si>
  <si>
    <t>4.37% to 42.98%</t>
  </si>
  <si>
    <t xml:space="preserve">Summa Insurance Company </t>
  </si>
  <si>
    <t>9.12% to 18.62%</t>
  </si>
  <si>
    <t xml:space="preserve">The Health Plan of West Virginia, Inc. </t>
  </si>
  <si>
    <t>10.17% to 10.17%</t>
  </si>
  <si>
    <t xml:space="preserve">UnitedHealthcare of Ohio, Inc. </t>
  </si>
  <si>
    <t>19.79% to 39.91%</t>
  </si>
  <si>
    <t>OK</t>
  </si>
  <si>
    <t xml:space="preserve">Blue Cross and Blue Shield of Oklahoma </t>
  </si>
  <si>
    <t>12.30% to 51.50%</t>
  </si>
  <si>
    <t>23.63% to 31.25%</t>
  </si>
  <si>
    <t xml:space="preserve">CommunityCare HMO, Inc. </t>
  </si>
  <si>
    <t>1.76% to 18.04%</t>
  </si>
  <si>
    <t>6.23% to 44.46%</t>
  </si>
  <si>
    <t xml:space="preserve">Mending Health </t>
  </si>
  <si>
    <t>19.76% to 26.40%</t>
  </si>
  <si>
    <t>9.04% to 17.69%</t>
  </si>
  <si>
    <t xml:space="preserve">UnitedHealthcare of Oklahoma, Inc. </t>
  </si>
  <si>
    <t>4.21% to 16.75%</t>
  </si>
  <si>
    <t>OR</t>
  </si>
  <si>
    <t xml:space="preserve">BridgeSpan Health Company </t>
  </si>
  <si>
    <t>7.72% to 14.94%</t>
  </si>
  <si>
    <t xml:space="preserve">Kaiser Foundation Health Plan of the Northwest </t>
  </si>
  <si>
    <t>6.55% to 18.85%</t>
  </si>
  <si>
    <t>6.59% to 11.36%</t>
  </si>
  <si>
    <t>0.48% to 5.67%</t>
  </si>
  <si>
    <t xml:space="preserve">Providence Health Plans </t>
  </si>
  <si>
    <t>5.19% to 15.51%</t>
  </si>
  <si>
    <t xml:space="preserve">Regence BlueCross BlueShield of Oregon </t>
  </si>
  <si>
    <t>6.98% to 19.45%</t>
  </si>
  <si>
    <t>PA</t>
  </si>
  <si>
    <t xml:space="preserve">Ambetter Health </t>
  </si>
  <si>
    <t>32.97% to 46.18%</t>
  </si>
  <si>
    <t xml:space="preserve">Capital Advantage Assurance Company </t>
  </si>
  <si>
    <t>25.31% to 37.53%</t>
  </si>
  <si>
    <t xml:space="preserve">Geisinger Health Plan </t>
  </si>
  <si>
    <t>7.71% to 14.75%</t>
  </si>
  <si>
    <t xml:space="preserve">Geisinger Quality Options </t>
  </si>
  <si>
    <t>11.42% to 15.32%</t>
  </si>
  <si>
    <t xml:space="preserve">Highmark Benefits Group (HBG) </t>
  </si>
  <si>
    <t>15.00% to 27.27%</t>
  </si>
  <si>
    <t xml:space="preserve">Highmark Coverage Advantage (HCA) </t>
  </si>
  <si>
    <t>9.43% to 22.71%</t>
  </si>
  <si>
    <t xml:space="preserve">Highmark Inc. </t>
  </si>
  <si>
    <t>11.91% to 29.14%</t>
  </si>
  <si>
    <t xml:space="preserve">Jefferson Health Plan </t>
  </si>
  <si>
    <t>5.34% to 12.48%</t>
  </si>
  <si>
    <t xml:space="preserve">Keystone Health Plan Central </t>
  </si>
  <si>
    <t>25.99% to 29.49%</t>
  </si>
  <si>
    <t xml:space="preserve">Keystone Health Plan East </t>
  </si>
  <si>
    <t>20.91% to 22.66%</t>
  </si>
  <si>
    <t xml:space="preserve">Oscar Health Plan of Pennsylvania, Inc. </t>
  </si>
  <si>
    <t>18.54% to 29.07%</t>
  </si>
  <si>
    <t xml:space="preserve">Partners Insurance Company, dba Jefferson Health Plans </t>
  </si>
  <si>
    <t>-13.29% to -8.60%</t>
  </si>
  <si>
    <t xml:space="preserve">QCC Insurance Company, Inc. </t>
  </si>
  <si>
    <t>12.98% to 16.31%</t>
  </si>
  <si>
    <t xml:space="preserve">UPMC Health Options, Inc. </t>
  </si>
  <si>
    <t>6.12% to 24.16%</t>
  </si>
  <si>
    <t xml:space="preserve">UPMC Health Plan, Inc. </t>
  </si>
  <si>
    <t>9.84% to 24.64%</t>
  </si>
  <si>
    <t>RI</t>
  </si>
  <si>
    <t xml:space="preserve">Blue Cross &amp; Blue Shield of Rhode Island </t>
  </si>
  <si>
    <t>24.81% to 30.70%</t>
  </si>
  <si>
    <t xml:space="preserve">Neighborhood Health Plan of Rhode Island </t>
  </si>
  <si>
    <t>20.18% to 22.26%</t>
  </si>
  <si>
    <t>SC</t>
  </si>
  <si>
    <t xml:space="preserve">Absolute Total Care </t>
  </si>
  <si>
    <t>25.07% to 31.89%</t>
  </si>
  <si>
    <t xml:space="preserve">BlueChoice HealthPlan Inc. </t>
  </si>
  <si>
    <t>16.84% to 21.25%</t>
  </si>
  <si>
    <t xml:space="preserve">BlueCross BlueShield of SC </t>
  </si>
  <si>
    <t>11.94% to 25.77%</t>
  </si>
  <si>
    <t>12.60% to 37.74%</t>
  </si>
  <si>
    <t xml:space="preserve">InStil Health Insurance Company </t>
  </si>
  <si>
    <t>24.32% to 25.08%</t>
  </si>
  <si>
    <t xml:space="preserve">Molina Healthcare of South Carolina, Inc. </t>
  </si>
  <si>
    <t>22.80% to 28.19%</t>
  </si>
  <si>
    <t xml:space="preserve">Select Health of South Carolina, Inc. </t>
  </si>
  <si>
    <t>0.00% to 37.33%</t>
  </si>
  <si>
    <t xml:space="preserve">UnitedHealthcare of South Carolina, Inc. </t>
  </si>
  <si>
    <t>33.67% to 47.51%</t>
  </si>
  <si>
    <t>SD</t>
  </si>
  <si>
    <t xml:space="preserve">Avera Health Plans, Inc. </t>
  </si>
  <si>
    <t>0.44% to 11.32%</t>
  </si>
  <si>
    <t>-3.01% to 11.27%</t>
  </si>
  <si>
    <t xml:space="preserve">Wellmark of South Dakota </t>
  </si>
  <si>
    <t>-7.77% to 8.94%</t>
  </si>
  <si>
    <t>TN</t>
  </si>
  <si>
    <t>-3.16 to 10.50%</t>
  </si>
  <si>
    <t xml:space="preserve">BlueCross BlueShield of Tennessee, Inc. </t>
  </si>
  <si>
    <t>0.00% to 60.40%</t>
  </si>
  <si>
    <t>32.10% to 41.98%</t>
  </si>
  <si>
    <t>31.76% to 44.54%</t>
  </si>
  <si>
    <t>17.76% to 31.55%</t>
  </si>
  <si>
    <t>UnitedHealthcare Insurance Company</t>
  </si>
  <si>
    <t>28.04% to 33.57%</t>
  </si>
  <si>
    <t>TX</t>
  </si>
  <si>
    <t xml:space="preserve">Access to Care Health Plans </t>
  </si>
  <si>
    <t>8.67% to 8.67%</t>
  </si>
  <si>
    <t xml:space="preserve">Baylor Scott &amp; White Health Plan </t>
  </si>
  <si>
    <t>0.23% to 30.42%</t>
  </si>
  <si>
    <t xml:space="preserve">Baylor Scott &amp; White Insurance Company </t>
  </si>
  <si>
    <t>19.55% to 19.55%</t>
  </si>
  <si>
    <t xml:space="preserve">Blue Cross Blue Shield of Texas </t>
  </si>
  <si>
    <t>8.93% to 64.66%</t>
  </si>
  <si>
    <t>39.29% to 42.39%</t>
  </si>
  <si>
    <t xml:space="preserve">Cigna HealthCare of Texas, Inc. </t>
  </si>
  <si>
    <t>37.52% to 52.25%</t>
  </si>
  <si>
    <t xml:space="preserve">Community First Insurance Plans </t>
  </si>
  <si>
    <t>12.28% to 18.77%</t>
  </si>
  <si>
    <t xml:space="preserve">Community Health Choice Texas, Inc. </t>
  </si>
  <si>
    <t>6.32% to 21.42%</t>
  </si>
  <si>
    <t xml:space="preserve">Community Health Choice </t>
  </si>
  <si>
    <t>5.97% to 19.70%</t>
  </si>
  <si>
    <t>-1.89% to 11.88%</t>
  </si>
  <si>
    <t xml:space="preserve">Moda Health Plan, Inc. </t>
  </si>
  <si>
    <t>-15.07% to 18.71%</t>
  </si>
  <si>
    <t xml:space="preserve">Molina Healthcare of Texas, Inc. </t>
  </si>
  <si>
    <t>-4.99% to 31.56%</t>
  </si>
  <si>
    <t>0.00% to 39.05%</t>
  </si>
  <si>
    <t xml:space="preserve">Sendero Health Plans, Inc. </t>
  </si>
  <si>
    <t>8.67% to 19.39%</t>
  </si>
  <si>
    <t xml:space="preserve">Superior Health Plan </t>
  </si>
  <si>
    <t>0.00% to 37.20%</t>
  </si>
  <si>
    <t xml:space="preserve">UnitedHealthcare of Texas, Inc. </t>
  </si>
  <si>
    <t>13.51% to 31.11%</t>
  </si>
  <si>
    <t xml:space="preserve">Wellpoint Insurance Company </t>
  </si>
  <si>
    <t>16.16% to 31.98%</t>
  </si>
  <si>
    <t>UT</t>
  </si>
  <si>
    <t>11.93% to 16.55%</t>
  </si>
  <si>
    <t xml:space="preserve">Imperial Health Plan of the Southwest, Inc. </t>
  </si>
  <si>
    <t>11.48% to 14.91%</t>
  </si>
  <si>
    <t xml:space="preserve">Molina Healthcare of Utah, Inc. </t>
  </si>
  <si>
    <t>28.07% to 34.61%</t>
  </si>
  <si>
    <t xml:space="preserve">Regence BlueCross BlueShield of Utah </t>
  </si>
  <si>
    <t>7.88% to 20.19%</t>
  </si>
  <si>
    <t xml:space="preserve">SelectHealth, Inc. </t>
  </si>
  <si>
    <t>9.19% to 18.62%</t>
  </si>
  <si>
    <t xml:space="preserve">University of Utah Health Insurance Plans </t>
  </si>
  <si>
    <t>9.62% to 25.95%</t>
  </si>
  <si>
    <t>VT</t>
  </si>
  <si>
    <t xml:space="preserve">Blue Cross and Blue Shield of Vermont </t>
  </si>
  <si>
    <t>21.70% to 24.80%</t>
  </si>
  <si>
    <t>-14.41% to 10.30%</t>
  </si>
  <si>
    <t>VA</t>
  </si>
  <si>
    <t xml:space="preserve">Anthem Health Plans of VA, Inc. </t>
  </si>
  <si>
    <t>20.90% to 23.44%</t>
  </si>
  <si>
    <t>6.39% to 18.98%</t>
  </si>
  <si>
    <t>12.52% to 19.75%</t>
  </si>
  <si>
    <t>-6.00% to 1.64%</t>
  </si>
  <si>
    <t xml:space="preserve">HealthKeepers, Inc. </t>
  </si>
  <si>
    <t>13.05% to 23.53%</t>
  </si>
  <si>
    <t>6.38% to 16.40%</t>
  </si>
  <si>
    <t>33.63% to 47.49%</t>
  </si>
  <si>
    <t>0.52% to 5.21%</t>
  </si>
  <si>
    <t xml:space="preserve">Sentara Health Plans </t>
  </si>
  <si>
    <t>16.98% to 25.00%</t>
  </si>
  <si>
    <t>WA</t>
  </si>
  <si>
    <t xml:space="preserve">Asuris Northwest Health </t>
  </si>
  <si>
    <t>12.51% to 13.88%</t>
  </si>
  <si>
    <t>-2.12% to 22.30%</t>
  </si>
  <si>
    <t xml:space="preserve">Community Health Plan of Washington </t>
  </si>
  <si>
    <t>3.90% to 33.62%</t>
  </si>
  <si>
    <t>5.97% to 49.25%</t>
  </si>
  <si>
    <t>-6.05% to 23.59%</t>
  </si>
  <si>
    <t xml:space="preserve">Kaiser Foundation Health Plan of Washington </t>
  </si>
  <si>
    <t>-17.20% to 37.88%</t>
  </si>
  <si>
    <t xml:space="preserve">LifeWise Health Plan of Washington </t>
  </si>
  <si>
    <t>-10.98% to 35.14%</t>
  </si>
  <si>
    <t xml:space="preserve">Molina Healthcare of Washington, Inc. </t>
  </si>
  <si>
    <t>9.30% to 36.98%</t>
  </si>
  <si>
    <t xml:space="preserve">Premera Blue Cross </t>
  </si>
  <si>
    <t>-5.97% to 42.14%</t>
  </si>
  <si>
    <t xml:space="preserve">Providence Health Plan </t>
  </si>
  <si>
    <t>7.38% to 13.05%</t>
  </si>
  <si>
    <t>0.02% to 37.09%</t>
  </si>
  <si>
    <t xml:space="preserve">Regence BlueShield </t>
  </si>
  <si>
    <t>-3.72% to 23.36%</t>
  </si>
  <si>
    <t xml:space="preserve">UnitedHealthcare of Oregon, Inc. </t>
  </si>
  <si>
    <t>9.37% to 53.62%</t>
  </si>
  <si>
    <t>WV</t>
  </si>
  <si>
    <t xml:space="preserve">CareSource West Virginia Co. </t>
  </si>
  <si>
    <t>-13.57% to 14.40%</t>
  </si>
  <si>
    <t xml:space="preserve">Highmark Blue Cross Blue Shield West Virginia </t>
  </si>
  <si>
    <t>15.24% to 23.27%</t>
  </si>
  <si>
    <t>7.88% to 7.88%</t>
  </si>
  <si>
    <t>WI</t>
  </si>
  <si>
    <t xml:space="preserve">Aspirus Health Plan, Inc. </t>
  </si>
  <si>
    <t>4.43% to 20.49%</t>
  </si>
  <si>
    <t xml:space="preserve">Common Ground Healthcare Cooperative </t>
  </si>
  <si>
    <t>8.41% to 29.37%</t>
  </si>
  <si>
    <t xml:space="preserve">Compcare Health Services Insurance Corporation (ANTHEM) </t>
  </si>
  <si>
    <t>14.77% to 47.11%</t>
  </si>
  <si>
    <t xml:space="preserve">Dean Health Plan </t>
  </si>
  <si>
    <t>-6.56% to 30.39%</t>
  </si>
  <si>
    <t xml:space="preserve">Group Health Cooperative of South Central Wisconsin </t>
  </si>
  <si>
    <t>1.29% to 12.48%</t>
  </si>
  <si>
    <t>6.67% to 14.29%</t>
  </si>
  <si>
    <t xml:space="preserve">Medica Community Health Plan </t>
  </si>
  <si>
    <t>4.65% to 18.81%</t>
  </si>
  <si>
    <t>3.58% to 7.83%</t>
  </si>
  <si>
    <t>Molina Healthcare of Wisconsin, Inc.</t>
  </si>
  <si>
    <t>16.03% to 16.03%</t>
  </si>
  <si>
    <t xml:space="preserve">Network Health </t>
  </si>
  <si>
    <t>6.11% to 12.57%</t>
  </si>
  <si>
    <t xml:space="preserve">Quartz Health Benefit Plans Corporation </t>
  </si>
  <si>
    <t>6.77% to 25.50%</t>
  </si>
  <si>
    <t xml:space="preserve">Security Health Plan of Wisconsin, Inc. </t>
  </si>
  <si>
    <t>11.33% to 35.10%</t>
  </si>
  <si>
    <t xml:space="preserve">UnitedHealthcare of Wisconsin, Inc. </t>
  </si>
  <si>
    <t>29.28% to 37.47%</t>
  </si>
  <si>
    <t>WY</t>
  </si>
  <si>
    <t xml:space="preserve">Blue Cross Blue Shield of Wyoming </t>
  </si>
  <si>
    <t>0.00% to 24.04%</t>
  </si>
  <si>
    <t>N/A (Not on site)</t>
  </si>
  <si>
    <t>31.16% to 32.51%</t>
  </si>
  <si>
    <t>26.72% to 30.94%</t>
  </si>
  <si>
    <t>Projected Weighted Average State Increase</t>
  </si>
  <si>
    <t>Notes</t>
  </si>
  <si>
    <t>BCBS of Alabama</t>
  </si>
  <si>
    <t>Celtic Insurance Company</t>
  </si>
  <si>
    <t>Oscar Insurance Company</t>
  </si>
  <si>
    <t>United Healthcare Insurance</t>
  </si>
  <si>
    <t>Moda Health Plan</t>
  </si>
  <si>
    <t>Premera BCBS of Alaska</t>
  </si>
  <si>
    <t>HMO Partners</t>
  </si>
  <si>
    <t>QCA Health Plan</t>
  </si>
  <si>
    <t>USAble HMO</t>
  </si>
  <si>
    <t>USAble Mutual Insurance Company</t>
  </si>
  <si>
    <t>Antidote Health Plan of Arizona</t>
  </si>
  <si>
    <t>BCBS if Arizona</t>
  </si>
  <si>
    <t>Health Net Community Solutions of Arizona</t>
  </si>
  <si>
    <t>Health Net of Arizona</t>
  </si>
  <si>
    <t>Imperial Insurance Companies</t>
  </si>
  <si>
    <t>Oscar Health Plan</t>
  </si>
  <si>
    <t>UnitedHealthcare of Arizona</t>
  </si>
  <si>
    <t>Anthem Bluee Cross of CA (DMHC)</t>
  </si>
  <si>
    <t>CA Physician Service (Blue Shield of CA)</t>
  </si>
  <si>
    <t>Balance (Chinese Community Health Plan)</t>
  </si>
  <si>
    <t>Santa Clara County (Valley Health Plan)</t>
  </si>
  <si>
    <t>Health Net of CA</t>
  </si>
  <si>
    <t>Kaiser Permanenete Health Plan</t>
  </si>
  <si>
    <t>LA Care Health Plan</t>
  </si>
  <si>
    <t>Molina Healthcare of CA</t>
  </si>
  <si>
    <t>Western Health Advantage</t>
  </si>
  <si>
    <t>Anthem (HMO Colorado, Inc.)</t>
  </si>
  <si>
    <t>Denver Health Medical Plan Inc. (Elevate)</t>
  </si>
  <si>
    <t>Kaiser Foundation Health Plan of CO</t>
  </si>
  <si>
    <t>Rocky Mountain HMO</t>
  </si>
  <si>
    <t>Select Health</t>
  </si>
  <si>
    <t>Anthem Health Plans</t>
  </si>
  <si>
    <t>ConnectiCare Benefits, Inc</t>
  </si>
  <si>
    <t>ConnecticutCare Insurance Company, In</t>
  </si>
  <si>
    <t>AmeriHealth Caritas VIP Next, Inc</t>
  </si>
  <si>
    <t>Highmark BCBSD IN</t>
  </si>
  <si>
    <t>CareFirst BlueChoice, Inc</t>
  </si>
  <si>
    <t>GHMSI, Inc</t>
  </si>
  <si>
    <t>Kaiser Foundation of the Mid</t>
  </si>
  <si>
    <t>Ambetter Health of Florida Inc</t>
  </si>
  <si>
    <t>AmeriHealth Caritas Florida, Inc</t>
  </si>
  <si>
    <t>AvMed, Inc</t>
  </si>
  <si>
    <t>BCBS of Florida</t>
  </si>
  <si>
    <t>Capital Halth Plan</t>
  </si>
  <si>
    <t>Centene Venture Compnay of Florida</t>
  </si>
  <si>
    <t xml:space="preserve">Flroida Health Care Plan, Inc </t>
  </si>
  <si>
    <t>Health First Commercial Plans, Inc</t>
  </si>
  <si>
    <t>Health Options, Inc</t>
  </si>
  <si>
    <t>Oscar Health Maintenence Organuzation of Florida</t>
  </si>
  <si>
    <t>Oscar Insurance Company of Florida</t>
  </si>
  <si>
    <t>Simply Healthcare Plans</t>
  </si>
  <si>
    <t>UnitedHealthcare of Florida</t>
  </si>
  <si>
    <t>Alliant Health Plans</t>
  </si>
  <si>
    <t>Ambetter of Peach State Inc.</t>
  </si>
  <si>
    <t>AMGP dba Anthem Bluee Cross &amp; Blue Shield</t>
  </si>
  <si>
    <t>Blue Cross Blue Shiled Healthcare Plan of GA</t>
  </si>
  <si>
    <t>Caresource of Georgia Co.</t>
  </si>
  <si>
    <t>Kaiser Foundation Health Plan of Georgia</t>
  </si>
  <si>
    <t>Oscar Health Plan of Georgia</t>
  </si>
  <si>
    <t>Peach State Health Plan</t>
  </si>
  <si>
    <t>UnitedHealthCare of Georgia, Inc.</t>
  </si>
  <si>
    <t>Hawaii Medical Service Association</t>
  </si>
  <si>
    <t>Kaiser Foundation Health Plan, Inc</t>
  </si>
  <si>
    <t>Blue Cross of Idaho Health Service, Inc</t>
  </si>
  <si>
    <t>Moda Health Plan, Inc</t>
  </si>
  <si>
    <t>Molina Healthcare of Utah</t>
  </si>
  <si>
    <t>Montana Health Cooperative</t>
  </si>
  <si>
    <t>Regence Blue Shield of Idaho</t>
  </si>
  <si>
    <t>SelectHealth, Inc</t>
  </si>
  <si>
    <t>St. Luke's Health Plan, Inc</t>
  </si>
  <si>
    <t>Blue Cross Blue Shield of Illinois</t>
  </si>
  <si>
    <t>MercyCare HMO, Inc.</t>
  </si>
  <si>
    <t>Molina Healthcare of Illinois, Inc.</t>
  </si>
  <si>
    <t>Oscar Health Plan, Inc.</t>
  </si>
  <si>
    <t>UnitedHealthcare of Illinois, Inc.</t>
  </si>
  <si>
    <t>AmeriHealth Caritas Indiana, Inc</t>
  </si>
  <si>
    <t>n/a</t>
  </si>
  <si>
    <t>Anthem Insurance Companies, Inc</t>
  </si>
  <si>
    <t>Coordinated Care Corporation</t>
  </si>
  <si>
    <t>Avera Health Plans</t>
  </si>
  <si>
    <t>Iowa Total Care, Inc.</t>
  </si>
  <si>
    <t>UnitedHealthcare Plan of the River Valley</t>
  </si>
  <si>
    <t>Wellmark Health Plan of Iowa</t>
  </si>
  <si>
    <t>Bankers Reserve Life Insuarnce Company</t>
  </si>
  <si>
    <t>BCBS of Kansas City</t>
  </si>
  <si>
    <t>BCBS of Kansas, Inc</t>
  </si>
  <si>
    <t>United Healthcare Insurance Company</t>
  </si>
  <si>
    <t>Anthem Health Plans of Kentucky, Inc</t>
  </si>
  <si>
    <t>Molina Healthcare of Kentucky, Inc</t>
  </si>
  <si>
    <t>WellCare Halth Plans of Kentucky, Inc</t>
  </si>
  <si>
    <t>Ambetter Health of LA, Inc.</t>
  </si>
  <si>
    <t>AmeriHealth Caritas Louisana</t>
  </si>
  <si>
    <t>CHRISTUS Health Plan LA</t>
  </si>
  <si>
    <t xml:space="preserve">HMO Louisana </t>
  </si>
  <si>
    <t>Louisana Healthg Service &amp; Indeminty</t>
  </si>
  <si>
    <t>UnitedHealthcare Insurance Co.</t>
  </si>
  <si>
    <t>Blue Cross Blue Shield of MA (HMO Blue)</t>
  </si>
  <si>
    <t>Boston Mediacal Center (WellSense)</t>
  </si>
  <si>
    <t>Falton Community Health Plan Inc.</t>
  </si>
  <si>
    <t>Harvard Pligrim Health Care</t>
  </si>
  <si>
    <t>Health New England</t>
  </si>
  <si>
    <t>Mass General Brigham Health Plan, Inc.</t>
  </si>
  <si>
    <t>Tufts Health Public Plans</t>
  </si>
  <si>
    <t>Anthem Healthplans of Maine</t>
  </si>
  <si>
    <t>Harvard Pilgrim Health Care</t>
  </si>
  <si>
    <t>HPHC Insurance Company</t>
  </si>
  <si>
    <t>Maine Community Health Options</t>
  </si>
  <si>
    <t xml:space="preserve">United Healthcare of New England </t>
  </si>
  <si>
    <t>​CareFirst BlueChoice</t>
  </si>
  <si>
    <t>​CareFirst GHMSI</t>
  </si>
  <si>
    <t>​CareFirst CFMI</t>
  </si>
  <si>
    <t>Kaiser</t>
  </si>
  <si>
    <t>​Optimum Choice (UHC)</t>
  </si>
  <si>
    <t>​Wellpoint Maryland, Inc.</t>
  </si>
  <si>
    <t>Alliance Health and Life Insurance Company</t>
  </si>
  <si>
    <t>Blue Care Network of Michigan</t>
  </si>
  <si>
    <t>BCBS of Michigan Mutual Insurance Company</t>
  </si>
  <si>
    <t>Health Alliance Plan (HAP)</t>
  </si>
  <si>
    <t>McLaren Health Plan Community</t>
  </si>
  <si>
    <t>Meridian Healt Plan of Michigan, Inc</t>
  </si>
  <si>
    <t>Molina Healthcare of Michigan, Inc</t>
  </si>
  <si>
    <t>Priority Health</t>
  </si>
  <si>
    <t>UnitedHealthcare Community Plan, Inc</t>
  </si>
  <si>
    <t>Aspirus Health Plan, Inc.</t>
  </si>
  <si>
    <t>Blue Plus</t>
  </si>
  <si>
    <t>HealthPartners, Inc.</t>
  </si>
  <si>
    <t>HealthPartners Insurance Company</t>
  </si>
  <si>
    <t>Medica Insurance Company</t>
  </si>
  <si>
    <t>Quartz Health Plan MN</t>
  </si>
  <si>
    <t>Ambetter of Magnolia Inc</t>
  </si>
  <si>
    <t>BCBS of Mississippi</t>
  </si>
  <si>
    <t>Oscar Health Plan, Inc</t>
  </si>
  <si>
    <t>UnitedHealthcare of Mississippi, Inc</t>
  </si>
  <si>
    <t>Healthy Alliance Life Insurance Company</t>
  </si>
  <si>
    <t>BCBS of Montana</t>
  </si>
  <si>
    <t>BCBS of Nebraska</t>
  </si>
  <si>
    <t>CareSource Nevada Co</t>
  </si>
  <si>
    <t>Community Care Health Plan of Nevada, Inc</t>
  </si>
  <si>
    <t>Health Plan of Nevada, Inc</t>
  </si>
  <si>
    <t>HMO Colorado, Inc., dba HMO Nevada</t>
  </si>
  <si>
    <t>Hometown Health Plan, Inc</t>
  </si>
  <si>
    <t>Hometown Health Providers Insurance Company Inc.</t>
  </si>
  <si>
    <t>Molina HEalthcare of Nevada, Inc</t>
  </si>
  <si>
    <t>Rocky Mountain Hospital and Medical Service, Inc, dba Anthem BCBS</t>
  </si>
  <si>
    <t>SelectHealth, Inc.</t>
  </si>
  <si>
    <t>Sierra Health and Life Insurance Company, Inc</t>
  </si>
  <si>
    <t>SilverSummit Healthplan, Inc</t>
  </si>
  <si>
    <t>Anthem Health Plans of New Hampshire, Inc</t>
  </si>
  <si>
    <t>Boston Medical Center Health Plan, Inc</t>
  </si>
  <si>
    <t>Harvard Pilgrim Health Care of NE</t>
  </si>
  <si>
    <t>Matthew Thornton Health Plan, Inc</t>
  </si>
  <si>
    <t>AmeriHealth HMO, Inc</t>
  </si>
  <si>
    <t>AmeriHealth Insurance Company of New Jersey</t>
  </si>
  <si>
    <t>Horizon Healthcare Services, Inc</t>
  </si>
  <si>
    <t>Oscar Garden State Insurance Corp</t>
  </si>
  <si>
    <t>WellCare Health Insurance Company of New Jersey, Inc</t>
  </si>
  <si>
    <t>BCBS of New Mexico</t>
  </si>
  <si>
    <t>Molina Healthcare of New Mexico, Inc</t>
  </si>
  <si>
    <t>Presbyterian Health Plan, Inc</t>
  </si>
  <si>
    <t>UnitedHealthcare of New Mexico, Inc</t>
  </si>
  <si>
    <t>NY</t>
  </si>
  <si>
    <t>Anthem HP, LLC (Formerly Empire HealthPlus)</t>
  </si>
  <si>
    <t>CDPHP</t>
  </si>
  <si>
    <t>Emblem (HIP)</t>
  </si>
  <si>
    <t>Fidelis (NY Quality Healthcare Corp)</t>
  </si>
  <si>
    <t>Healthfirst PHSP, Inc.</t>
  </si>
  <si>
    <t>Highmark (Formerly HealthNow)</t>
  </si>
  <si>
    <t>IHBC</t>
  </si>
  <si>
    <t>MetroPlus</t>
  </si>
  <si>
    <t>MVP Health Plan</t>
  </si>
  <si>
    <t>Oscar</t>
  </si>
  <si>
    <t>UnitedHealthcare of NY Inc.</t>
  </si>
  <si>
    <t>Ambetter of North Carolina Inc</t>
  </si>
  <si>
    <t>AmeriHealth Caritas North Carolina, Inc</t>
  </si>
  <si>
    <t>BCBS of NC</t>
  </si>
  <si>
    <t>Oscar Health Plan of North Carolina</t>
  </si>
  <si>
    <t>UnitedHealthcare of North Carolina</t>
  </si>
  <si>
    <t>BCBS of North Dakota</t>
  </si>
  <si>
    <t>Medica Health Plans</t>
  </si>
  <si>
    <t>Sanford Health Plan</t>
  </si>
  <si>
    <t>Antidote Health Plan of Ohio</t>
  </si>
  <si>
    <t>Buckeye Community Health Plan</t>
  </si>
  <si>
    <t>Buckeye Health Plan Community Solutions, Inc</t>
  </si>
  <si>
    <t>Community Insurance Company</t>
  </si>
  <si>
    <t>Medical Mutual of Ohio</t>
  </si>
  <si>
    <t>Molina Healthcare of Ohio, Inc</t>
  </si>
  <si>
    <t>Oscar Buckeye State Insurance Corp</t>
  </si>
  <si>
    <t>Oscar Insurance Corporation of Ohio</t>
  </si>
  <si>
    <t>Summa Insurance Company, Inc</t>
  </si>
  <si>
    <t>The Health Plan of West Virginia, Inc</t>
  </si>
  <si>
    <t>UnitedHealthcare of Ohio, Inc</t>
  </si>
  <si>
    <t>Blue Cross Blue Shield of Oklahoma</t>
  </si>
  <si>
    <t>CommunityCare HMO Inc.</t>
  </si>
  <si>
    <t>UnitedHealthcare of Oklahoma Inc.</t>
  </si>
  <si>
    <t>BridgeSpan Health Company</t>
  </si>
  <si>
    <t>Kaiser Foundation Health Plan of the Northwest</t>
  </si>
  <si>
    <t>Regence BlueCross BlueShield of Oregon</t>
  </si>
  <si>
    <t>Ambetter Health Of Pennsylvania, Inc.</t>
  </si>
  <si>
    <t>Capital Advantage Assurance Company</t>
  </si>
  <si>
    <t>Geisinger Quality Options</t>
  </si>
  <si>
    <t>Health Partners Plans, Inc.</t>
  </si>
  <si>
    <t>Highmark Benefits Group</t>
  </si>
  <si>
    <t>Highmark, Inc.</t>
  </si>
  <si>
    <t>Keystone Health Plan Central</t>
  </si>
  <si>
    <t>Keystone Health Plan East</t>
  </si>
  <si>
    <t>Oscar Health Plan of PA</t>
  </si>
  <si>
    <t>Partners Insurance Company, Inc</t>
  </si>
  <si>
    <t>QCC Insurance Company</t>
  </si>
  <si>
    <t>UPMC Health Network, Inc</t>
  </si>
  <si>
    <t>UPMC Health Plan, Inc.</t>
  </si>
  <si>
    <t>BCBSRI</t>
  </si>
  <si>
    <t>NHPRI</t>
  </si>
  <si>
    <t>Absolute Total Care, Inc</t>
  </si>
  <si>
    <t>Blue Cross and Blue Shield of South Carolina</t>
  </si>
  <si>
    <t>BlueChoice HealthPlan of South Carolina, Inc.</t>
  </si>
  <si>
    <t>InStil Health Insurance Company</t>
  </si>
  <si>
    <t>MOLINA HEALTHCARE OF SOUTH CAROLINA, INC</t>
  </si>
  <si>
    <t>Select Health of South Carolina</t>
  </si>
  <si>
    <t>UnitedHealthcare of South Carolina</t>
  </si>
  <si>
    <t>Avera Health Planc, Inc.</t>
  </si>
  <si>
    <t>Wellmark of South Dakota</t>
  </si>
  <si>
    <t>Alliant Health Plans, Inc.</t>
  </si>
  <si>
    <t>Bankers Reserve Life Insurance Co.</t>
  </si>
  <si>
    <t>Blue Cross Blue Shield of Tennesee</t>
  </si>
  <si>
    <t>Ambetter Health Plans of Texas Inc</t>
  </si>
  <si>
    <t>Blue Cross Blue Shield of Texas</t>
  </si>
  <si>
    <t>CHRISTUS Health Plan</t>
  </si>
  <si>
    <t>Community First Insurance Plans</t>
  </si>
  <si>
    <t>Community Health Choice Texas, Inc.</t>
  </si>
  <si>
    <t>Community Health Choice, Inc.</t>
  </si>
  <si>
    <t>Harbor Health Insurance Company</t>
  </si>
  <si>
    <t>Molina Healthcare of texas, Inc.</t>
  </si>
  <si>
    <t>Sendero Health Plan</t>
  </si>
  <si>
    <t>UnitedHealthcare Benefits of Texas, Inc.</t>
  </si>
  <si>
    <t>UnitedHealthcare of Texas, Inc.</t>
  </si>
  <si>
    <t>Wellpoint Insurance Company</t>
  </si>
  <si>
    <t>Imperial Health Plan of the Southwest, Inc.</t>
  </si>
  <si>
    <t>Regence BlueCross BlueShield of Utah</t>
  </si>
  <si>
    <t>Universtiy of Utah Health Insurance Plans</t>
  </si>
  <si>
    <t>BCBS of Vermont</t>
  </si>
  <si>
    <t>MVP Health Care</t>
  </si>
  <si>
    <t>Anthem Health Plans of Virginia, Inc</t>
  </si>
  <si>
    <t>Group Hospitalization and Medical Services Inc.</t>
  </si>
  <si>
    <t>HealthKeepers, Inc.</t>
  </si>
  <si>
    <t>Kaiser Foundation Health Plan of the Mid-Atlantic States, Inc.</t>
  </si>
  <si>
    <t>Optimum Choice, Inc.</t>
  </si>
  <si>
    <t>Sentara Health Plans</t>
  </si>
  <si>
    <t>Asuris Northwest Health</t>
  </si>
  <si>
    <t>Community Health Plan of Washington</t>
  </si>
  <si>
    <t>Kaiser Foundation Health Plan of Washington</t>
  </si>
  <si>
    <t>LifeWise Health Plan of Washington</t>
  </si>
  <si>
    <t>Molina Healthcare of Washington, Inc.</t>
  </si>
  <si>
    <t>Premera Blue Cross</t>
  </si>
  <si>
    <t>Regence BlueShield</t>
  </si>
  <si>
    <t>Regence Blue Cross Blue Shield of Oregon</t>
  </si>
  <si>
    <t>UnitedHealthcare of Oregon, Inc.</t>
  </si>
  <si>
    <t>Wellpoint Washington, Inc.</t>
  </si>
  <si>
    <t>Highmark Blue Cross Blue Shield West Virginia</t>
  </si>
  <si>
    <t>The Health Plan of West Virginia Inc.</t>
  </si>
  <si>
    <t>Common Ground Healthcare Cooperative</t>
  </si>
  <si>
    <t>Compcare Health Services Insurance Corporation</t>
  </si>
  <si>
    <t>Dean Health Plan</t>
  </si>
  <si>
    <t>Group Health Cooperative of South Central Wisconsin</t>
  </si>
  <si>
    <t>HealthPartners Insurance Inc</t>
  </si>
  <si>
    <t>Medica Community Health Plan</t>
  </si>
  <si>
    <t>MercyCare HMO, Inc</t>
  </si>
  <si>
    <t>Network Health Plan</t>
  </si>
  <si>
    <t>Quartz Health Benefits Plans Corporation</t>
  </si>
  <si>
    <t>Security Health Plan of Wisconsin, Inc</t>
  </si>
  <si>
    <t>UnitedHealthcare of Wisconsin, Inc</t>
  </si>
  <si>
    <t>Blue Cross Blue Shield of Wyoming</t>
  </si>
  <si>
    <t>Unitedhealthcare Insurance Company</t>
  </si>
  <si>
    <t>Source</t>
  </si>
  <si>
    <t>AVG increase</t>
  </si>
  <si>
    <t>https://acasignups.net/rate_changes/2027/ca</t>
  </si>
  <si>
    <t>CalOptima Health - New Carrier</t>
  </si>
  <si>
    <t>https://acasignups.net/26/07/28/2027-rate-changes-colorado-134-both-indy-sm-group-cigna-leaves-40k-scrambling</t>
  </si>
  <si>
    <t>Acces Connected Care Partners - New Carrier</t>
  </si>
  <si>
    <t>Requested Rate Increases Effective 2027</t>
  </si>
  <si>
    <t>ACAExchangePlanYear2027ProposedRatesSummary.pdf</t>
  </si>
  <si>
    <t>https://acasignups.net/rate_changes/2027/ga</t>
  </si>
  <si>
    <t>Antidote Health of GA - New Carrier</t>
  </si>
  <si>
    <t>Affordable Care Act (ACA) - Illinois Rate Filings</t>
  </si>
  <si>
    <t>Rate Watch Document 2027 Initial v2</t>
  </si>
  <si>
    <t>Health Insurance Rate Increase Data | Iowa Insurance Division</t>
  </si>
  <si>
    <t>DEPARTMENT OF INSURANCE</t>
  </si>
  <si>
    <t>2027 Health Insurance Rates | Mass.gov</t>
  </si>
  <si>
    <t xml:space="preserve">Have merged rates </t>
  </si>
  <si>
    <t>2027-ratesummary.pdf</t>
  </si>
  <si>
    <t>https://insurance.maryland.gov/Pages/newscenter/Health-Carriers-Propose-Affordable-Care-Act-Premium-Rates-for-2027.aspx</t>
  </si>
  <si>
    <t>Off by 0.1% from tcommand</t>
  </si>
  <si>
    <t>2027 Michigan Health Insurance Requested Rate Changes</t>
  </si>
  <si>
    <t>https://mn.gov/commerce/insurance/health/consumer-protections/rates/proposed/2027/</t>
  </si>
  <si>
    <t>https://myportal.dfs.ny.gov/web/prior-approval/ind-and-sg-medical/summary-of-2027-requested-rate-actions</t>
  </si>
  <si>
    <t>2027-rate-and-county-coverage.pdf</t>
  </si>
  <si>
    <t>https://acasignups.net/rate_changes/2027/pa</t>
  </si>
  <si>
    <t>Hughmark Coverage Adv - Not filed
Ambeter Health Solutions of PA, Inc - New Carrier</t>
  </si>
  <si>
    <t>https://ohic.ri.gov/sites/g/files/xkgbur736/files/2026-06/Rate%20Review%20Process%20Press%20Release%20-%20Requested%20Rates%20June%202026.pdf</t>
  </si>
  <si>
    <t>Health Insurance Rate Review | Rate Review</t>
  </si>
  <si>
    <t>https://www.insurance.wa.gov/about-us/news/2026/thirteen-health-insurers-request-average-224-rate-increase-2027-individual-market?utm_medium=email&amp;utm_source=govdelivery</t>
  </si>
  <si>
    <t>Check</t>
  </si>
  <si>
    <t>Alabama</t>
  </si>
  <si>
    <t>Alaska</t>
  </si>
  <si>
    <t>Arizona</t>
  </si>
  <si>
    <t>Arkansas</t>
  </si>
  <si>
    <t>California</t>
  </si>
  <si>
    <t>Colorado</t>
  </si>
  <si>
    <t>Connecticut</t>
  </si>
  <si>
    <t>x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</si>
  <si>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</si>
  <si>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</si>
  <si>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</si>
  <si>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</si>
  <si>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</si>
  <si>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</si>
  <si>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</si>
  <si>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</si>
  <si>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</si>
  <si>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</si>
  <si>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</si>
  <si>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</si>
  <si>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</si>
  <si>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</si>
  <si>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</si>
  <si>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</si>
  <si>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</si>
  <si>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</si>
  <si>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</si>
  <si>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</si>
  <si>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</si>
  <si>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</si>
  <si>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</si>
  <si>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</si>
  <si>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</si>
  <si>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</si>
  <si>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</si>
  <si>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</si>
  <si>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</si>
  <si>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</si>
  <si>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</si>
  <si>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</si>
  <si>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</si>
  <si>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</si>
  <si>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</si>
  <si>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</si>
  <si>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</si>
  <si>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</si>
  <si>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</si>
  <si>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</si>
  <si>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</si>
  <si>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</si>
  <si>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</si>
  <si>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System Carrier Name</t>
  </si>
  <si>
    <t>Final Projected Average State Increase</t>
  </si>
  <si>
    <t>tbd</t>
  </si>
  <si>
    <t>Premera Blue Cross Blue Shield of Alaska</t>
  </si>
  <si>
    <t>Blue Cross and Blue Shield of Alabama</t>
  </si>
  <si>
    <t>Ambetter of Alabama</t>
  </si>
  <si>
    <t>HMO Partners, Inc.</t>
  </si>
  <si>
    <t>QCA Health Plan, Inc.</t>
  </si>
  <si>
    <t>Octave BlueCross BlueShield</t>
  </si>
  <si>
    <t>Antidote Health Plan of Arizona Inc.</t>
  </si>
  <si>
    <t>BCBS of Arizona</t>
  </si>
  <si>
    <t>Blue Cross and Blue Shield of Arizona, Inc.</t>
  </si>
  <si>
    <t>Ambetter Health</t>
  </si>
  <si>
    <t>Arizona Complete Health</t>
  </si>
  <si>
    <t>UnitedHealthcare of Arizona, Inc.</t>
  </si>
  <si>
    <t>Blue Cross of California(Anthem BC)</t>
  </si>
  <si>
    <t>CA Physician's Service dba Blue Shield of CA</t>
  </si>
  <si>
    <t>Health Net of California, Inc</t>
  </si>
  <si>
    <t>Kaiser Foundation Health Plan, Inc.</t>
  </si>
  <si>
    <t>Local Initiative Health Authority for Los Angeles County</t>
  </si>
  <si>
    <t>MOLINA HEALTHCARE OF CALIFORNIA</t>
  </si>
  <si>
    <t>County of Santa Clara</t>
  </si>
  <si>
    <t xml:space="preserve">Sutter Health Alliance </t>
  </si>
  <si>
    <t>Sutter Health Plan</t>
  </si>
  <si>
    <t>Kaiser Foundation Health Plan of Colo.</t>
  </si>
  <si>
    <t>SelectHealth</t>
  </si>
  <si>
    <t>Anthem Health Plans Inc(Anthem BCBS)</t>
  </si>
  <si>
    <t>CareFirst BlueChoice, Inc.</t>
  </si>
  <si>
    <t>GHMSI</t>
  </si>
  <si>
    <t>Amerihealth Caritas Next</t>
  </si>
  <si>
    <t>Highmark BCBSD Inc.</t>
  </si>
  <si>
    <t>AmeriHealth Caritas</t>
  </si>
  <si>
    <t>AvMed, Inc.</t>
  </si>
  <si>
    <t>Blue Cross and Blue Shield of Florida</t>
  </si>
  <si>
    <t>Capital Health Plan</t>
  </si>
  <si>
    <t>Centene Venture Company Florida</t>
  </si>
  <si>
    <t>Florida Health Care Plan, Inc.</t>
  </si>
  <si>
    <t>Health First Commercial Plans, Inc.</t>
  </si>
  <si>
    <t>Health Options, Inc.</t>
  </si>
  <si>
    <t>Oscar Health Maintenance Organization of Florida, Inc.</t>
  </si>
  <si>
    <t>Wellpoint Florida, Inc.</t>
  </si>
  <si>
    <t>AMGP dba Anthem Blue Cross &amp; Blue Shield</t>
  </si>
  <si>
    <t>AMGP Georgia Managed Care Company, Inc.</t>
  </si>
  <si>
    <t>Blue Cross Blue Shield Healthcare Plan of Georgia, Inc.</t>
  </si>
  <si>
    <t>CareSource Georgia Co.</t>
  </si>
  <si>
    <t>UnitedHealthcare of Georgia, Inc.</t>
  </si>
  <si>
    <t>Avera Health Plans, Inc.</t>
  </si>
  <si>
    <t>UnitedHealthcare Plan of the River Valley, Inc.</t>
  </si>
  <si>
    <t>Blue Cross of Idaho Health Service, Inc.</t>
  </si>
  <si>
    <t>Molina Healthcare of Utah, Inc.dba Molina Healthcare of Idaho</t>
  </si>
  <si>
    <t>Mountain Health Cooperative</t>
  </si>
  <si>
    <t>St. Luke's Health Plan</t>
  </si>
  <si>
    <t>Ambetter of Illinois</t>
  </si>
  <si>
    <t>Anthem Ins Companies Inc(Anthem BCBS)</t>
  </si>
  <si>
    <t>Blue Cross and Blue Shield of Kansas City</t>
  </si>
  <si>
    <t>Blue Cross and Blue Shield of Kansas, Inc.</t>
  </si>
  <si>
    <t>Anthem Health Plans of KY(Anthem BCBS)</t>
  </si>
  <si>
    <t>Molina Healthcare of Kentucky, Inc.</t>
  </si>
  <si>
    <t>Ambetter from WellCare of Kentucky</t>
  </si>
  <si>
    <t>Ambetter from Louisiana Healthcare Connections</t>
  </si>
  <si>
    <t>AmeriHealth Caritas LA, Inc.</t>
  </si>
  <si>
    <t>CHRISTUS Health Plan Louisiana</t>
  </si>
  <si>
    <t>HMO Louisiana, Inc.</t>
  </si>
  <si>
    <t>Louisiana Health Service &amp; Indemnity Company</t>
  </si>
  <si>
    <t>Blue Cross and Blue Shield of Massachusetts HMO Blue, Inc.</t>
  </si>
  <si>
    <t>Boston Medical Center (WellSense)</t>
  </si>
  <si>
    <t>WellSense Health Plan</t>
  </si>
  <si>
    <t>Fallon Community Health Plan Inc.</t>
  </si>
  <si>
    <t>Fallon Community Health Plan, Inc.</t>
  </si>
  <si>
    <t>Harvard Pilgrim Health Care Inc.</t>
  </si>
  <si>
    <t>Health New England, Inc.</t>
  </si>
  <si>
    <t>Mass General Brigham Health Plan</t>
  </si>
  <si>
    <t>Tufts Health Public Plans Inc.</t>
  </si>
  <si>
    <t>CFMI, Inc.</t>
  </si>
  <si>
    <t>Wellpoint Maryland, Inc.</t>
  </si>
  <si>
    <t>Anthem Health Plans of ME(Anthem BCBS)</t>
  </si>
  <si>
    <t>HPHC Insurance Company Inc.</t>
  </si>
  <si>
    <t>Blue Cross Blue Shield of Michigan Mutual Insurance Company</t>
  </si>
  <si>
    <t>Ambetter from Meridian</t>
  </si>
  <si>
    <t>Molina Healthcare of Michigan, Inc.</t>
  </si>
  <si>
    <t>UnitedHealthcare Community Plan, Inc.</t>
  </si>
  <si>
    <t>HMO Minnesota</t>
  </si>
  <si>
    <t>Quartz Health Plan MN Corporation</t>
  </si>
  <si>
    <t>Healthy Alliance Life Co(Anthem BCBS)</t>
  </si>
  <si>
    <t>Ambetter of Magnolia Inc.</t>
  </si>
  <si>
    <t>UnitedHealthcare of Mississippi, Inc.</t>
  </si>
  <si>
    <t>Blue Cross and Blue Shield of Montana</t>
  </si>
  <si>
    <t>Ambetter of North Carolina Inc.</t>
  </si>
  <si>
    <t>Amerihealth Caritas Next North Carolina</t>
  </si>
  <si>
    <t>Blue Cross and Blue Shield of NC</t>
  </si>
  <si>
    <t>Oscar Health Plan of North Carolina, Inc.</t>
  </si>
  <si>
    <t>UnitedHealthcare of North Carolina, Inc</t>
  </si>
  <si>
    <t>Blue Cross Blue Shield of North Dakota</t>
  </si>
  <si>
    <t>Blue Cross and Blue Shield of Nebraska</t>
  </si>
  <si>
    <t>Anthem Health Plans of NH(Anthem BCBS)</t>
  </si>
  <si>
    <t>Boston Medical Center Health Plan, Inc.</t>
  </si>
  <si>
    <t>Matthew Thornton Hlth Plan(Anthem BCBS)</t>
  </si>
  <si>
    <t>AmeriHealth HMO, Inc.</t>
  </si>
  <si>
    <t>AmeriHealth Ins Company of New Jersey</t>
  </si>
  <si>
    <t>Horizon Healthcare Services, Inc.</t>
  </si>
  <si>
    <t>Oscar Garden State Insurance Corporation</t>
  </si>
  <si>
    <t>UnitedHealthCare</t>
  </si>
  <si>
    <t>Ambetter from WellCare of New Jersey</t>
  </si>
  <si>
    <t>Blue Cross Blue Shield of New Mexico</t>
  </si>
  <si>
    <t>Molina Healthcare of New Mexico, Inc.</t>
  </si>
  <si>
    <t>Presbyterian Health Plan, Inc.</t>
  </si>
  <si>
    <t>UnitedHealthcare of New Mexico, Inc.</t>
  </si>
  <si>
    <t>CareSource Nevada Co.</t>
  </si>
  <si>
    <t>Community Care Health Plans of Nevada DBA Anthem</t>
  </si>
  <si>
    <t>Health Plan of Nevada, Inc.</t>
  </si>
  <si>
    <t>Hometown Health Plan Inc</t>
  </si>
  <si>
    <t>HOMETOWN HEALTH PROVIDERS INS. CO. INC.</t>
  </si>
  <si>
    <t>Imperial Insurance Companies, Inc.</t>
  </si>
  <si>
    <t>Molina Healthcare of Nevada, Inc.</t>
  </si>
  <si>
    <t>Rocky Mountain Hospital and Medical Service, Inc., dba Anthem Blue Cross and Blue Shield</t>
  </si>
  <si>
    <t>SelectHealth Inc</t>
  </si>
  <si>
    <t>Sierra Health and Life Ins Company, Inc.</t>
  </si>
  <si>
    <t>Ambetter from SilverSummit Health Plan</t>
  </si>
  <si>
    <t>Anthem HP, LLC</t>
  </si>
  <si>
    <t>Emblem (Health Insurance Plan of Greater New York)</t>
  </si>
  <si>
    <t>Health Insurance Plan of Greater New York</t>
  </si>
  <si>
    <t>Excellus Health Plan, Inc.</t>
  </si>
  <si>
    <t>New York Quality Healthcare Corporation</t>
  </si>
  <si>
    <t>Independent Health Benefits Corporation</t>
  </si>
  <si>
    <t>MetroPlus Health Plan</t>
  </si>
  <si>
    <t>MVP Health Plan, Inc.</t>
  </si>
  <si>
    <t>Oscar Insurance Corporation</t>
  </si>
  <si>
    <t>UnitedHealthcare of New York, Inc.</t>
  </si>
  <si>
    <t>Antidote Health Plan</t>
  </si>
  <si>
    <t>Community Insurance Company(Anthem BCBS)</t>
  </si>
  <si>
    <t>Molina Healthcare of Ohio, Inc.</t>
  </si>
  <si>
    <t>Oscar Buckeye State Insurance Corporation</t>
  </si>
  <si>
    <t>Summa Insurance Company, Inc.</t>
  </si>
  <si>
    <t>The Health Plan of West Virginia, Inc.</t>
  </si>
  <si>
    <t>UnitedHealthcare of Ohio, Inc.</t>
  </si>
  <si>
    <t>UnitedHealthcare of Oklahoma, Inc.</t>
  </si>
  <si>
    <t>Kaiser Foundation Healthplan of the NW</t>
  </si>
  <si>
    <t>Geisinger Health Plan</t>
  </si>
  <si>
    <t>Jefferson Health Plan</t>
  </si>
  <si>
    <t>Highmark Benefits Group Inc.</t>
  </si>
  <si>
    <t>Highmark Inc.</t>
  </si>
  <si>
    <t>Independence Blue Cross (QCC Ins. Co.)</t>
  </si>
  <si>
    <t>Keystone Health Plan East, Inc</t>
  </si>
  <si>
    <t>Oscar Health Plan of Pennsylvania, Inc.</t>
  </si>
  <si>
    <t>Partners Insurance, Inc.</t>
  </si>
  <si>
    <t>Blue Cross &amp; Blue Shield of Rhode Island</t>
  </si>
  <si>
    <t>Neighborhood Health Plan of Rhode Island</t>
  </si>
  <si>
    <t>Ambetter from Absolute Total Care</t>
  </si>
  <si>
    <t>InStil Health</t>
  </si>
  <si>
    <t>UnitedHealthcare of South Carolina Inc.</t>
  </si>
  <si>
    <t>BlueCross BlueShield of Tennessee</t>
  </si>
  <si>
    <t>Ambetter from Superior HealthPlan</t>
  </si>
  <si>
    <t>Community Health Choice</t>
  </si>
  <si>
    <t>Molina Healthcare of Texas, Inc.</t>
  </si>
  <si>
    <t>Sendero Health Plans, inc.</t>
  </si>
  <si>
    <t>Superior Health Plan</t>
  </si>
  <si>
    <t>UnitedHealthcare</t>
  </si>
  <si>
    <t>University of Utah Health Insurance Plans</t>
  </si>
  <si>
    <t>Elevance</t>
  </si>
  <si>
    <t>Optima Health Plan</t>
  </si>
  <si>
    <t>Blue Cross Blue Shield of Vermont</t>
  </si>
  <si>
    <t>Ambetter from Coordinated Care</t>
  </si>
  <si>
    <t>LifeWise Health Plan of WA</t>
  </si>
  <si>
    <t>Regence BlueCross BlueShield Of Oregon</t>
  </si>
  <si>
    <t>UnitedHealthcare of Oregon</t>
  </si>
  <si>
    <t>Wellpoint WA Inc</t>
  </si>
  <si>
    <t>Aspirus Arise Health Plan of Wisconsin, Inc.</t>
  </si>
  <si>
    <t>CareSource (Common Ground Healthcare)</t>
  </si>
  <si>
    <t>Compcare Health Serv Ins Co(Anthem BCBS)</t>
  </si>
  <si>
    <t>Medica Health Plans of Wisconsin</t>
  </si>
  <si>
    <t>Quartz Health Benefit Plans Corporation</t>
  </si>
  <si>
    <t>Security Health Plan of Wisconsin, Inc.</t>
  </si>
  <si>
    <t>UnitedHealthcare of Wisconsin,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</si>
</sst>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156082"/>
      <name val="Aptos Narrow"/>
      <family val="2"/>
      <scheme val="minor"/>
    </font>
    <font>
      <sz val="11"/>
      <color rgb="FF00206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333333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sz val="11"/>
      <color rgb="FF333333"/>
      <name val="Aptos Narrow"/>
      <family val="2"/>
      <scheme val="minor"/>
    </font>
    <font>
      <u/>
      <sz val="11"/>
      <color rgb="FF00206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56082"/>
      <name val="Aptos Narrow"/>
      <family val="2"/>
      <scheme val="minor"/>
    </font>
    <font>
      <strike/>
      <sz val="11"/>
      <color rgb="FF00206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9" fontId="15" fillId="0" borderId="0" applyFont="0" applyFill="0" applyBorder="0" applyAlignment="0" applyProtection="0"/>
  </cellStyleXfs>
  <cellXfs count="140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4" fontId="3" fillId="0" borderId="0" xfId="0" applyNumberFormat="1" applyFont="1" applyAlignment="1">
      <alignment horizontal="center"/>
    </xf>
    <xf numFmtId="10" fontId="3" fillId="0" borderId="0" xfId="0" applyNumberFormat="1" applyFont="1" applyAlignment="1">
      <alignment horizontal="center"/>
    </xf>
    <xf numFmtId="10" fontId="3" fillId="4" borderId="0" xfId="0" applyNumberFormat="1" applyFont="1" applyFill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14" fontId="3" fillId="0" borderId="3" xfId="0" applyNumberFormat="1" applyFont="1" applyBorder="1" applyAlignment="1">
      <alignment horizontal="center"/>
    </xf>
    <xf numFmtId="10" fontId="3" fillId="0" borderId="3" xfId="0" applyNumberFormat="1" applyFont="1" applyBorder="1" applyAlignment="1">
      <alignment horizontal="center"/>
    </xf>
    <xf numFmtId="10" fontId="3" fillId="4" borderId="3" xfId="0" applyNumberFormat="1" applyFont="1" applyFill="1" applyBorder="1" applyAlignment="1">
      <alignment horizontal="center"/>
    </xf>
    <xf numFmtId="0" fontId="3" fillId="0" borderId="4" xfId="0" applyFont="1" applyBorder="1"/>
    <xf numFmtId="0" fontId="5" fillId="0" borderId="0" xfId="0" applyFont="1"/>
    <xf numFmtId="0" fontId="3" fillId="0" borderId="5" xfId="0" applyFont="1" applyBorder="1"/>
    <xf numFmtId="10" fontId="1" fillId="4" borderId="0" xfId="0" applyNumberFormat="1" applyFont="1" applyFill="1" applyAlignment="1">
      <alignment horizontal="center"/>
    </xf>
    <xf numFmtId="0" fontId="3" fillId="5" borderId="0" xfId="0" applyFont="1" applyFill="1"/>
    <xf numFmtId="0" fontId="5" fillId="0" borderId="3" xfId="0" applyFont="1" applyBorder="1"/>
    <xf numFmtId="0" fontId="10" fillId="0" borderId="0" xfId="1"/>
    <xf numFmtId="14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10" fillId="0" borderId="0" xfId="1" applyAlignment="1">
      <alignment wrapText="1"/>
    </xf>
    <xf numFmtId="10" fontId="3" fillId="0" borderId="0" xfId="0" applyNumberFormat="1" applyFont="1" applyAlignment="1">
      <alignment horizontal="center" vertical="center"/>
    </xf>
    <xf numFmtId="10" fontId="3" fillId="4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0" fillId="0" borderId="3" xfId="1" applyBorder="1"/>
    <xf numFmtId="14" fontId="3" fillId="0" borderId="3" xfId="0" applyNumberFormat="1" applyFont="1" applyBorder="1" applyAlignment="1">
      <alignment horizontal="center" vertical="center"/>
    </xf>
    <xf numFmtId="14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vertical="center" wrapText="1"/>
    </xf>
    <xf numFmtId="10" fontId="8" fillId="4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10" fillId="0" borderId="0" xfId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0" fontId="3" fillId="0" borderId="6" xfId="0" applyFont="1" applyBorder="1" applyAlignment="1">
      <alignment horizontal="center"/>
    </xf>
    <xf numFmtId="0" fontId="10" fillId="0" borderId="6" xfId="1" applyBorder="1" applyAlignment="1">
      <alignment wrapText="1"/>
    </xf>
    <xf numFmtId="0" fontId="3" fillId="0" borderId="3" xfId="0" applyFont="1" applyBorder="1" applyAlignment="1">
      <alignment wrapText="1"/>
    </xf>
    <xf numFmtId="14" fontId="3" fillId="0" borderId="3" xfId="0" applyNumberFormat="1" applyFont="1" applyBorder="1" applyAlignment="1">
      <alignment horizontal="center" wrapText="1"/>
    </xf>
    <xf numFmtId="10" fontId="3" fillId="0" borderId="6" xfId="0" applyNumberFormat="1" applyFont="1" applyBorder="1" applyAlignment="1">
      <alignment horizontal="center" wrapText="1"/>
    </xf>
    <xf numFmtId="10" fontId="8" fillId="4" borderId="3" xfId="0" applyNumberFormat="1" applyFont="1" applyFill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6" xfId="0" applyFont="1" applyBorder="1"/>
    <xf numFmtId="0" fontId="5" fillId="0" borderId="6" xfId="0" applyFont="1" applyBorder="1"/>
    <xf numFmtId="0" fontId="10" fillId="6" borderId="0" xfId="1" applyFill="1" applyAlignment="1">
      <alignment horizontal="center" wrapText="1"/>
    </xf>
    <xf numFmtId="0" fontId="3" fillId="6" borderId="0" xfId="0" applyFont="1" applyFill="1" applyAlignment="1">
      <alignment wrapText="1"/>
    </xf>
    <xf numFmtId="14" fontId="3" fillId="6" borderId="0" xfId="0" applyNumberFormat="1" applyFont="1" applyFill="1" applyAlignment="1">
      <alignment horizontal="center" wrapText="1"/>
    </xf>
    <xf numFmtId="0" fontId="9" fillId="0" borderId="3" xfId="0" applyFont="1" applyBorder="1"/>
    <xf numFmtId="10" fontId="1" fillId="4" borderId="3" xfId="0" applyNumberFormat="1" applyFont="1" applyFill="1" applyBorder="1" applyAlignment="1">
      <alignment horizontal="center"/>
    </xf>
    <xf numFmtId="0" fontId="3" fillId="5" borderId="4" xfId="0" applyFont="1" applyFill="1" applyBorder="1"/>
    <xf numFmtId="0" fontId="4" fillId="0" borderId="3" xfId="0" applyFont="1" applyBorder="1"/>
    <xf numFmtId="0" fontId="3" fillId="5" borderId="3" xfId="0" applyFont="1" applyFill="1" applyBorder="1"/>
    <xf numFmtId="10" fontId="3" fillId="4" borderId="4" xfId="0" applyNumberFormat="1" applyFont="1" applyFill="1" applyBorder="1" applyAlignment="1">
      <alignment horizontal="center"/>
    </xf>
    <xf numFmtId="10" fontId="5" fillId="4" borderId="0" xfId="0" applyNumberFormat="1" applyFont="1" applyFill="1" applyAlignment="1">
      <alignment horizontal="center"/>
    </xf>
    <xf numFmtId="10" fontId="5" fillId="4" borderId="5" xfId="0" applyNumberFormat="1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0" borderId="5" xfId="0" applyFont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10" fontId="3" fillId="0" borderId="5" xfId="0" applyNumberFormat="1" applyFont="1" applyBorder="1" applyAlignment="1">
      <alignment horizontal="center"/>
    </xf>
    <xf numFmtId="10" fontId="3" fillId="4" borderId="5" xfId="0" applyNumberFormat="1" applyFont="1" applyFill="1" applyBorder="1" applyAlignment="1">
      <alignment horizontal="center"/>
    </xf>
    <xf numFmtId="0" fontId="11" fillId="0" borderId="0" xfId="0" applyFont="1"/>
    <xf numFmtId="0" fontId="0" fillId="0" borderId="3" xfId="0" applyBorder="1"/>
    <xf numFmtId="10" fontId="0" fillId="0" borderId="0" xfId="0" applyNumberFormat="1"/>
    <xf numFmtId="0" fontId="2" fillId="2" borderId="9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10" fontId="2" fillId="2" borderId="9" xfId="0" applyNumberFormat="1" applyFont="1" applyFill="1" applyBorder="1" applyAlignment="1">
      <alignment horizontal="center"/>
    </xf>
    <xf numFmtId="0" fontId="0" fillId="7" borderId="0" xfId="0" applyFill="1"/>
    <xf numFmtId="0" fontId="3" fillId="8" borderId="0" xfId="0" applyFont="1" applyFill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0" fillId="8" borderId="0" xfId="0" applyFill="1"/>
    <xf numFmtId="0" fontId="3" fillId="9" borderId="0" xfId="0" applyFont="1" applyFill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0" fillId="9" borderId="0" xfId="0" applyFill="1"/>
    <xf numFmtId="0" fontId="11" fillId="0" borderId="3" xfId="0" applyFont="1" applyBorder="1"/>
    <xf numFmtId="0" fontId="12" fillId="0" borderId="0" xfId="0" applyFont="1" applyAlignment="1">
      <alignment horizontal="center"/>
    </xf>
    <xf numFmtId="10" fontId="12" fillId="0" borderId="0" xfId="0" applyNumberFormat="1" applyFont="1" applyAlignment="1">
      <alignment horizontal="center"/>
    </xf>
    <xf numFmtId="0" fontId="12" fillId="0" borderId="3" xfId="0" applyFont="1" applyBorder="1" applyAlignment="1">
      <alignment horizontal="center"/>
    </xf>
    <xf numFmtId="10" fontId="12" fillId="0" borderId="3" xfId="0" applyNumberFormat="1" applyFont="1" applyBorder="1" applyAlignment="1">
      <alignment horizontal="center"/>
    </xf>
    <xf numFmtId="0" fontId="0" fillId="0" borderId="0" xfId="0" applyAlignment="1">
      <alignment wrapText="1"/>
    </xf>
    <xf numFmtId="0" fontId="12" fillId="0" borderId="0" xfId="0" applyFont="1" applyAlignment="1">
      <alignment horizontal="left"/>
    </xf>
    <xf numFmtId="0" fontId="12" fillId="0" borderId="3" xfId="0" applyFont="1" applyBorder="1" applyAlignment="1">
      <alignment horizontal="left"/>
    </xf>
    <xf numFmtId="14" fontId="12" fillId="0" borderId="0" xfId="0" applyNumberFormat="1" applyFont="1" applyAlignment="1">
      <alignment horizontal="center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left" vertical="top"/>
    </xf>
    <xf numFmtId="0" fontId="0" fillId="8" borderId="0" xfId="0" applyFill="1" applyAlignment="1">
      <alignment horizontal="center"/>
    </xf>
    <xf numFmtId="0" fontId="0" fillId="8" borderId="3" xfId="0" applyFill="1" applyBorder="1" applyAlignment="1">
      <alignment horizontal="center"/>
    </xf>
    <xf numFmtId="10" fontId="0" fillId="0" borderId="3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10" fontId="4" fillId="0" borderId="3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3" xfId="0" applyNumberFormat="1" applyBorder="1"/>
    <xf numFmtId="1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14" fillId="0" borderId="3" xfId="0" applyFont="1" applyBorder="1"/>
    <xf numFmtId="0" fontId="0" fillId="9" borderId="0" xfId="0" applyFill="1" applyAlignment="1">
      <alignment horizontal="center"/>
    </xf>
    <xf numFmtId="0" fontId="0" fillId="9" borderId="3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3" xfId="0" applyFill="1" applyBorder="1" applyAlignment="1">
      <alignment horizontal="center"/>
    </xf>
    <xf numFmtId="0" fontId="13" fillId="8" borderId="3" xfId="0" applyFont="1" applyFill="1" applyBorder="1" applyAlignment="1">
      <alignment horizontal="center"/>
    </xf>
    <xf numFmtId="10" fontId="4" fillId="0" borderId="0" xfId="0" applyNumberFormat="1" applyFont="1" applyAlignment="1">
      <alignment horizontal="center" vertical="center" indent="1"/>
    </xf>
    <xf numFmtId="10" fontId="4" fillId="0" borderId="3" xfId="0" applyNumberFormat="1" applyFont="1" applyBorder="1" applyAlignment="1">
      <alignment horizontal="center" vertical="center" indent="1"/>
    </xf>
    <xf numFmtId="10" fontId="4" fillId="0" borderId="0" xfId="0" applyNumberFormat="1" applyFont="1" applyAlignment="1">
      <alignment horizontal="center" vertical="center"/>
    </xf>
    <xf numFmtId="10" fontId="4" fillId="0" borderId="3" xfId="0" applyNumberFormat="1" applyFont="1" applyBorder="1" applyAlignment="1">
      <alignment horizontal="center" vertical="center"/>
    </xf>
    <xf numFmtId="10" fontId="4" fillId="0" borderId="2" xfId="0" applyNumberFormat="1" applyFont="1" applyBorder="1" applyAlignment="1">
      <alignment horizontal="center" vertical="center"/>
    </xf>
    <xf numFmtId="10" fontId="4" fillId="0" borderId="2" xfId="0" applyNumberFormat="1" applyFont="1" applyBorder="1" applyAlignment="1">
      <alignment horizontal="center" vertical="center" indent="1"/>
    </xf>
    <xf numFmtId="10" fontId="4" fillId="0" borderId="2" xfId="0" applyNumberFormat="1" applyFont="1" applyBorder="1" applyAlignment="1">
      <alignment horizontal="center" vertical="center" wrapText="1"/>
    </xf>
    <xf numFmtId="10" fontId="4" fillId="0" borderId="0" xfId="0" applyNumberFormat="1" applyFont="1" applyAlignment="1">
      <alignment horizontal="center" vertical="center" wrapText="1"/>
    </xf>
    <xf numFmtId="10" fontId="4" fillId="0" borderId="3" xfId="0" applyNumberFormat="1" applyFont="1" applyBorder="1" applyAlignment="1">
      <alignment horizontal="center" vertical="center" wrapText="1"/>
    </xf>
    <xf numFmtId="10" fontId="4" fillId="0" borderId="5" xfId="0" applyNumberFormat="1" applyFont="1" applyBorder="1" applyAlignment="1">
      <alignment horizontal="center" vertical="center"/>
    </xf>
    <xf numFmtId="10" fontId="4" fillId="0" borderId="4" xfId="0" applyNumberFormat="1" applyFont="1" applyBorder="1" applyAlignment="1">
      <alignment horizontal="center" vertical="center"/>
    </xf>
    <xf numFmtId="10" fontId="7" fillId="0" borderId="0" xfId="0" applyNumberFormat="1" applyFont="1" applyAlignment="1">
      <alignment horizontal="center" vertical="center" wrapText="1"/>
    </xf>
    <xf numFmtId="10" fontId="7" fillId="0" borderId="8" xfId="0" applyNumberFormat="1" applyFont="1" applyBorder="1" applyAlignment="1">
      <alignment horizontal="center" vertical="center" wrapText="1"/>
    </xf>
    <xf numFmtId="10" fontId="7" fillId="6" borderId="7" xfId="0" applyNumberFormat="1" applyFont="1" applyFill="1" applyBorder="1" applyAlignment="1">
      <alignment horizontal="center" vertical="center" wrapText="1"/>
    </xf>
    <xf numFmtId="10" fontId="7" fillId="6" borderId="0" xfId="0" applyNumberFormat="1" applyFont="1" applyFill="1" applyAlignment="1">
      <alignment horizontal="center" vertical="center" wrapText="1"/>
    </xf>
    <xf numFmtId="10" fontId="7" fillId="6" borderId="3" xfId="0" applyNumberFormat="1" applyFont="1" applyFill="1" applyBorder="1" applyAlignment="1">
      <alignment horizontal="center" vertical="center" wrapText="1"/>
    </xf>
    <xf numFmtId="10" fontId="11" fillId="0" borderId="0" xfId="2" applyNumberFormat="1" applyFont="1"/>
    <xf numFmtId="14" fontId="0" fillId="0" borderId="0" xfId="0" applyNumberFormat="1"/>
    <xf numFmtId="10" fontId="0" fillId="0" borderId="0" xfId="2" applyNumberFormat="1" applyFont="1"/>
    <xf numFmtId="10" fontId="11" fillId="0" borderId="4" xfId="0" applyNumberFormat="1" applyFont="1" applyBorder="1" applyAlignment="1">
      <alignment horizontal="center" vertical="center"/>
    </xf>
    <xf numFmtId="14" fontId="0" fillId="0" borderId="3" xfId="0" applyNumberFormat="1" applyBorder="1"/>
    <xf numFmtId="10" fontId="0" fillId="0" borderId="3" xfId="2" applyNumberFormat="1" applyFont="1" applyBorder="1"/>
    <xf numFmtId="0" fontId="11" fillId="0" borderId="3" xfId="0" applyFont="1" applyBorder="1" applyAlignment="1">
      <alignment horizontal="center" vertical="center"/>
    </xf>
    <xf numFmtId="10" fontId="11" fillId="0" borderId="0" xfId="0" applyNumberFormat="1" applyFont="1" applyAlignment="1">
      <alignment horizontal="center" vertical="center"/>
    </xf>
    <xf numFmtId="10" fontId="11" fillId="0" borderId="5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0" fontId="11" fillId="0" borderId="2" xfId="0" applyNumberFormat="1" applyFont="1" applyBorder="1" applyAlignment="1">
      <alignment horizontal="center" vertical="center"/>
    </xf>
    <xf numFmtId="10" fontId="11" fillId="0" borderId="2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2" fontId="11" fillId="0" borderId="2" xfId="0" applyNumberFormat="1" applyFont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2" fontId="11" fillId="0" borderId="3" xfId="0" applyNumberFormat="1" applyFont="1" applyBorder="1" applyAlignment="1">
      <alignment horizontal="center" vertical="center"/>
    </xf>
    <xf numFmtId="10" fontId="11" fillId="0" borderId="3" xfId="0" applyNumberFormat="1" applyFont="1" applyBorder="1" applyAlignment="1">
      <alignment horizontal="center" vertical="center"/>
    </xf>
    <xf numFmtId="10" fontId="11" fillId="0" borderId="0" xfId="0" applyNumberFormat="1" applyFont="1" applyAlignment="1">
      <alignment horizontal="center" vertical="center" wrapText="1"/>
    </xf>
    <xf numFmtId="10" fontId="11" fillId="0" borderId="3" xfId="0" applyNumberFormat="1" applyFont="1" applyBorder="1" applyAlignment="1">
      <alignment horizontal="center" vertical="center" wrapText="1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ratereview.healthcare.gov/" TargetMode="External"/><Relationship Id="rId13" Type="http://schemas.openxmlformats.org/officeDocument/2006/relationships/hyperlink" Target="https://ratereview.healthcare.gov/" TargetMode="External"/><Relationship Id="rId18" Type="http://schemas.openxmlformats.org/officeDocument/2006/relationships/hyperlink" Target="https://ratereview.healthcare.gov/" TargetMode="External"/><Relationship Id="rId3" Type="http://schemas.openxmlformats.org/officeDocument/2006/relationships/hyperlink" Target="https://ratereview.healthcare.gov/" TargetMode="External"/><Relationship Id="rId21" Type="http://schemas.openxmlformats.org/officeDocument/2006/relationships/hyperlink" Target="https://ratereview.healthcare.gov/" TargetMode="External"/><Relationship Id="rId7" Type="http://schemas.openxmlformats.org/officeDocument/2006/relationships/hyperlink" Target="https://ratereview.healthcare.gov/" TargetMode="External"/><Relationship Id="rId12" Type="http://schemas.openxmlformats.org/officeDocument/2006/relationships/hyperlink" Target="https://ratereview.healthcare.gov/" TargetMode="External"/><Relationship Id="rId17" Type="http://schemas.openxmlformats.org/officeDocument/2006/relationships/hyperlink" Target="https://ratereview.healthcare.gov/" TargetMode="External"/><Relationship Id="rId2" Type="http://schemas.openxmlformats.org/officeDocument/2006/relationships/hyperlink" Target="https://ratereview.healthcare.gov/" TargetMode="External"/><Relationship Id="rId16" Type="http://schemas.openxmlformats.org/officeDocument/2006/relationships/hyperlink" Target="https://ratereview.healthcare.gov/" TargetMode="External"/><Relationship Id="rId20" Type="http://schemas.openxmlformats.org/officeDocument/2006/relationships/hyperlink" Target="https://ratereview.healthcare.gov/" TargetMode="External"/><Relationship Id="rId1" Type="http://schemas.openxmlformats.org/officeDocument/2006/relationships/hyperlink" Target="https://ratereview.healthcare.gov/" TargetMode="External"/><Relationship Id="rId6" Type="http://schemas.openxmlformats.org/officeDocument/2006/relationships/hyperlink" Target="https://ratereview.healthcare.gov/" TargetMode="External"/><Relationship Id="rId11" Type="http://schemas.openxmlformats.org/officeDocument/2006/relationships/hyperlink" Target="https://ratereview.healthcare.gov/" TargetMode="External"/><Relationship Id="rId5" Type="http://schemas.openxmlformats.org/officeDocument/2006/relationships/hyperlink" Target="https://ratereview.healthcare.gov/" TargetMode="External"/><Relationship Id="rId15" Type="http://schemas.openxmlformats.org/officeDocument/2006/relationships/hyperlink" Target="https://ratereview.healthcare.gov/" TargetMode="External"/><Relationship Id="rId10" Type="http://schemas.openxmlformats.org/officeDocument/2006/relationships/hyperlink" Target="https://ratereview.healthcare.gov/" TargetMode="External"/><Relationship Id="rId19" Type="http://schemas.openxmlformats.org/officeDocument/2006/relationships/hyperlink" Target="https://ratereview.healthcare.gov/" TargetMode="External"/><Relationship Id="rId4" Type="http://schemas.openxmlformats.org/officeDocument/2006/relationships/hyperlink" Target="https://ratereview.healthcare.gov/" TargetMode="External"/><Relationship Id="rId9" Type="http://schemas.openxmlformats.org/officeDocument/2006/relationships/hyperlink" Target="https://ratereview.healthcare.gov/" TargetMode="External"/><Relationship Id="rId14" Type="http://schemas.openxmlformats.org/officeDocument/2006/relationships/hyperlink" Target="https://ratereview.healthcare.gov/" TargetMode="External"/><Relationship Id="rId22" Type="http://schemas.openxmlformats.org/officeDocument/2006/relationships/hyperlink" Target="https://ratereview.healthcare.gov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myportal.dfs.ny.gov/web/prior-approval/ind-and-sg-medical/summary-of-2027-requested-rate-actions" TargetMode="External"/><Relationship Id="rId13" Type="http://schemas.openxmlformats.org/officeDocument/2006/relationships/hyperlink" Target="https://iid.iowa.gov/legal-resources/data/health-insurance-rate-increase-data" TargetMode="External"/><Relationship Id="rId18" Type="http://schemas.openxmlformats.org/officeDocument/2006/relationships/hyperlink" Target="https://acasignups.net/rate_changes/2027/ga" TargetMode="External"/><Relationship Id="rId3" Type="http://schemas.openxmlformats.org/officeDocument/2006/relationships/hyperlink" Target="https://portal.ct.gov/cid/-/media/cid/1_ratefilings/2027-initial-rate-filings-chart.pdf?rev=4b6d93e41c3644ea90255e874bfda754&amp;hash=24914BE903559E655997C165F7627E12" TargetMode="External"/><Relationship Id="rId7" Type="http://schemas.openxmlformats.org/officeDocument/2006/relationships/hyperlink" Target="https://idoi.illinois.gov/consumers/consumerinsurance/health/affordable-care-act--aca----illinois-rate-filings.html" TargetMode="External"/><Relationship Id="rId12" Type="http://schemas.openxmlformats.org/officeDocument/2006/relationships/hyperlink" Target="https://www.insurance.wa.gov/about-us/news/2026/thirteen-health-insurers-request-average-224-rate-increase-2027-individual-market?utm_medium=email&amp;utm_source=govdelivery" TargetMode="External"/><Relationship Id="rId17" Type="http://schemas.openxmlformats.org/officeDocument/2006/relationships/hyperlink" Target="https://acasignups.net/rate_changes/2027/pa" TargetMode="External"/><Relationship Id="rId2" Type="http://schemas.openxmlformats.org/officeDocument/2006/relationships/hyperlink" Target="https://insurance.maryland.gov/Pages/newscenter/Health-Carriers-Propose-Affordable-Care-Act-Premium-Rates-for-2027.aspx" TargetMode="External"/><Relationship Id="rId16" Type="http://schemas.openxmlformats.org/officeDocument/2006/relationships/hyperlink" Target="https://acasignups.net/rate_changes/2027/ca" TargetMode="External"/><Relationship Id="rId20" Type="http://schemas.openxmlformats.org/officeDocument/2006/relationships/hyperlink" Target="https://www.michigan.gov/difs/-/media/Project/Websites/difs/OIRF/EHB/PDFs/2027_Proposed_Rate_Changes.pdf" TargetMode="External"/><Relationship Id="rId1" Type="http://schemas.openxmlformats.org/officeDocument/2006/relationships/hyperlink" Target="https://mn.gov/commerce/insurance/health/consumer-protections/rates/proposed/2027/" TargetMode="External"/><Relationship Id="rId6" Type="http://schemas.openxmlformats.org/officeDocument/2006/relationships/hyperlink" Target="https://www.mass.gov/info-details/2027-health-insurance-rates" TargetMode="External"/><Relationship Id="rId11" Type="http://schemas.openxmlformats.org/officeDocument/2006/relationships/hyperlink" Target="https://dfr.oregon.gov/healthrates/Documents/2027-rate-and-county-coverage.pdf" TargetMode="External"/><Relationship Id="rId5" Type="http://schemas.openxmlformats.org/officeDocument/2006/relationships/hyperlink" Target="https://disb.dc.gov/sites/default/files/dc/sites/disb/page_content/attachments/ACAExchangePlanYear2027ProposedRatesSummary.pdf" TargetMode="External"/><Relationship Id="rId15" Type="http://schemas.openxmlformats.org/officeDocument/2006/relationships/hyperlink" Target="https://acasignups.net/26/07/28/2027-rate-changes-colorado-134-both-indy-sm-group-cigna-leaves-40k-scrambling" TargetMode="External"/><Relationship Id="rId10" Type="http://schemas.openxmlformats.org/officeDocument/2006/relationships/hyperlink" Target="https://ohic.ri.gov/sites/g/files/xkgbur736/files/2026-06/Rate%20Review%20Process%20Press%20Release%20-%20Requested%20Rates%20June%202026.pdf" TargetMode="External"/><Relationship Id="rId19" Type="http://schemas.openxmlformats.org/officeDocument/2006/relationships/hyperlink" Target="https://insurance.ky.gov/ppc/Ratefil/default.aspx" TargetMode="External"/><Relationship Id="rId4" Type="http://schemas.openxmlformats.org/officeDocument/2006/relationships/hyperlink" Target="https://www.maine.gov/pfr/insurance/sites/maine.gov.pfr.insurance/files/inline-files/2027-ratesummary.pdf" TargetMode="External"/><Relationship Id="rId9" Type="http://schemas.openxmlformats.org/officeDocument/2006/relationships/hyperlink" Target="https://www.in.gov/idoi/files/Rate-Watch-Document-2027-Initial-v2.pdf" TargetMode="External"/><Relationship Id="rId14" Type="http://schemas.openxmlformats.org/officeDocument/2006/relationships/hyperlink" Target="https://ratereview.vermont.g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391A3-0138-415F-AF7C-32969EF4C0AD}">
  <dimension ref="A1:I316"/>
  <sheetViews>
    <sheetView tabSelected="1" workbookViewId="0">
      <selection activeCell="I11" sqref="I11"/>
    </sheetView>
  </sheetViews>
  <sheetFormatPr defaultRowHeight="15" x14ac:dyDescent="0.25"/>
  <cols>
    <col min="1" max="1" width="5.140625" bestFit="1" customWidth="1"/>
    <col min="2" max="2" width="56.7109375" hidden="1" customWidth="1"/>
    <col min="3" max="3" width="74.28515625" bestFit="1" customWidth="1"/>
    <col min="5" max="5" width="13.5703125" bestFit="1" customWidth="1"/>
    <col min="6" max="6" width="20.7109375" style="121" bestFit="1" customWidth="1"/>
    <col min="7" max="7" width="30.42578125" bestFit="1" customWidth="1"/>
    <col min="8" max="8" width="16.85546875" bestFit="1" customWidth="1"/>
    <col min="9" max="9" width="35.140625" bestFit="1" customWidth="1"/>
  </cols>
  <sheetData>
    <row r="1" spans="1:9" ht="15.75" thickBot="1" x14ac:dyDescent="0.3">
      <c r="A1" s="62" t="s">
        <v>0</v>
      </c>
      <c r="B1" s="62" t="s">
        <v>1</v>
      </c>
      <c r="C1" s="62" t="s">
        <v>1037</v>
      </c>
      <c r="D1" s="62" t="s">
        <v>2</v>
      </c>
      <c r="E1" s="62" t="s">
        <v>3</v>
      </c>
      <c r="F1" s="119" t="s">
        <v>4</v>
      </c>
      <c r="G1" s="1" t="s">
        <v>5</v>
      </c>
      <c r="H1" s="3" t="s">
        <v>6</v>
      </c>
      <c r="I1" s="1" t="s">
        <v>1038</v>
      </c>
    </row>
    <row r="2" spans="1:9" x14ac:dyDescent="0.25">
      <c r="A2" t="s">
        <v>17</v>
      </c>
      <c r="B2" t="s">
        <v>689</v>
      </c>
      <c r="C2" t="s">
        <v>18</v>
      </c>
      <c r="D2">
        <v>73836</v>
      </c>
      <c r="E2" s="120">
        <v>46388</v>
      </c>
      <c r="F2" s="121">
        <v>9.2999999999999999E-2</v>
      </c>
      <c r="G2" s="122">
        <v>0.1799</v>
      </c>
      <c r="H2" t="s">
        <v>1039</v>
      </c>
      <c r="I2" t="s">
        <v>1039</v>
      </c>
    </row>
    <row r="3" spans="1:9" ht="15.75" thickBot="1" x14ac:dyDescent="0.3">
      <c r="A3" s="63" t="s">
        <v>17</v>
      </c>
      <c r="B3" s="63" t="s">
        <v>690</v>
      </c>
      <c r="C3" s="63" t="s">
        <v>1040</v>
      </c>
      <c r="D3" s="63">
        <v>38344</v>
      </c>
      <c r="E3" s="123">
        <v>46388</v>
      </c>
      <c r="F3" s="124">
        <v>0.26669999999999999</v>
      </c>
      <c r="G3" s="125"/>
      <c r="H3" s="63"/>
      <c r="I3" s="63"/>
    </row>
    <row r="4" spans="1:9" x14ac:dyDescent="0.25">
      <c r="A4" t="s">
        <v>9</v>
      </c>
      <c r="B4" t="s">
        <v>685</v>
      </c>
      <c r="C4" t="s">
        <v>1041</v>
      </c>
      <c r="D4">
        <v>46944</v>
      </c>
      <c r="E4" s="120">
        <v>46388</v>
      </c>
      <c r="F4" s="121">
        <v>0.20130000000000001</v>
      </c>
      <c r="G4" s="122">
        <v>0.23630000000000001</v>
      </c>
    </row>
    <row r="5" spans="1:9" x14ac:dyDescent="0.25">
      <c r="A5" t="s">
        <v>9</v>
      </c>
      <c r="B5" t="s">
        <v>686</v>
      </c>
      <c r="C5" t="s">
        <v>1042</v>
      </c>
      <c r="D5">
        <v>53932</v>
      </c>
      <c r="E5" s="120">
        <v>46388</v>
      </c>
      <c r="F5" s="121">
        <v>0.1159</v>
      </c>
      <c r="G5" s="126"/>
    </row>
    <row r="6" spans="1:9" x14ac:dyDescent="0.25">
      <c r="A6" t="s">
        <v>9</v>
      </c>
      <c r="B6" t="s">
        <v>687</v>
      </c>
      <c r="C6" t="s">
        <v>687</v>
      </c>
      <c r="D6">
        <v>17091</v>
      </c>
      <c r="E6" s="120">
        <v>46388</v>
      </c>
      <c r="F6" s="121">
        <v>0.35139999999999999</v>
      </c>
      <c r="G6" s="126"/>
    </row>
    <row r="7" spans="1:9" ht="15.75" thickBot="1" x14ac:dyDescent="0.3">
      <c r="A7" s="63" t="s">
        <v>9</v>
      </c>
      <c r="B7" s="63" t="s">
        <v>688</v>
      </c>
      <c r="C7" s="63" t="s">
        <v>560</v>
      </c>
      <c r="D7" s="63">
        <v>69461</v>
      </c>
      <c r="E7" s="123">
        <v>46388</v>
      </c>
      <c r="F7" s="124">
        <v>0.27639999999999998</v>
      </c>
      <c r="G7" s="127"/>
      <c r="H7" s="63"/>
      <c r="I7" s="63"/>
    </row>
    <row r="8" spans="1:9" x14ac:dyDescent="0.25">
      <c r="A8" t="s">
        <v>37</v>
      </c>
      <c r="B8" t="s">
        <v>691</v>
      </c>
      <c r="C8" t="s">
        <v>1043</v>
      </c>
      <c r="D8">
        <v>13262</v>
      </c>
      <c r="E8" s="120">
        <v>46388</v>
      </c>
      <c r="F8" s="121">
        <v>0.1047</v>
      </c>
      <c r="G8" s="122">
        <v>9.1300000000000006E-2</v>
      </c>
    </row>
    <row r="9" spans="1:9" x14ac:dyDescent="0.25">
      <c r="A9" t="s">
        <v>37</v>
      </c>
      <c r="B9" t="s">
        <v>692</v>
      </c>
      <c r="C9" t="s">
        <v>1044</v>
      </c>
      <c r="D9">
        <v>70525</v>
      </c>
      <c r="E9" s="120">
        <v>46388</v>
      </c>
      <c r="F9" s="121">
        <v>0.1588</v>
      </c>
      <c r="G9" s="128"/>
    </row>
    <row r="10" spans="1:9" x14ac:dyDescent="0.25">
      <c r="A10" t="s">
        <v>37</v>
      </c>
      <c r="B10" t="s">
        <v>693</v>
      </c>
      <c r="C10" t="s">
        <v>1045</v>
      </c>
      <c r="D10">
        <v>48772</v>
      </c>
      <c r="E10" s="120">
        <v>46388</v>
      </c>
      <c r="F10" s="121">
        <v>3.1099999999999999E-2</v>
      </c>
      <c r="G10" s="128"/>
    </row>
    <row r="11" spans="1:9" ht="15.75" thickBot="1" x14ac:dyDescent="0.3">
      <c r="A11" s="63" t="s">
        <v>37</v>
      </c>
      <c r="B11" s="63" t="s">
        <v>694</v>
      </c>
      <c r="C11" s="63" t="s">
        <v>694</v>
      </c>
      <c r="D11" s="63">
        <v>75293</v>
      </c>
      <c r="E11" s="123">
        <v>46388</v>
      </c>
      <c r="F11" s="124">
        <v>7.0499999999999993E-2</v>
      </c>
      <c r="G11" s="125"/>
      <c r="H11" s="63"/>
      <c r="I11" s="63"/>
    </row>
    <row r="12" spans="1:9" x14ac:dyDescent="0.25">
      <c r="A12" t="s">
        <v>22</v>
      </c>
      <c r="B12" t="s">
        <v>695</v>
      </c>
      <c r="C12" t="s">
        <v>1046</v>
      </c>
      <c r="D12">
        <v>68445</v>
      </c>
      <c r="E12" s="120">
        <v>46388</v>
      </c>
      <c r="F12" s="121">
        <v>3.2599999999999997E-2</v>
      </c>
      <c r="G12" s="129">
        <v>0.25419999999999998</v>
      </c>
    </row>
    <row r="13" spans="1:9" x14ac:dyDescent="0.25">
      <c r="A13" t="s">
        <v>22</v>
      </c>
      <c r="B13" t="s">
        <v>1047</v>
      </c>
      <c r="C13" t="s">
        <v>1048</v>
      </c>
      <c r="D13">
        <v>53901</v>
      </c>
      <c r="E13" s="120">
        <v>46388</v>
      </c>
      <c r="F13" s="121">
        <v>0.2959</v>
      </c>
      <c r="G13" s="128"/>
    </row>
    <row r="14" spans="1:9" x14ac:dyDescent="0.25">
      <c r="A14" t="s">
        <v>22</v>
      </c>
      <c r="B14" t="s">
        <v>697</v>
      </c>
      <c r="C14" t="s">
        <v>1049</v>
      </c>
      <c r="D14">
        <v>12613</v>
      </c>
      <c r="E14" s="120">
        <v>46388</v>
      </c>
      <c r="F14" s="121">
        <v>0.27960000000000002</v>
      </c>
      <c r="G14" s="128"/>
    </row>
    <row r="15" spans="1:9" x14ac:dyDescent="0.25">
      <c r="A15" t="s">
        <v>22</v>
      </c>
      <c r="B15" t="s">
        <v>698</v>
      </c>
      <c r="C15" t="s">
        <v>1050</v>
      </c>
      <c r="D15">
        <v>91450</v>
      </c>
      <c r="E15" s="120">
        <v>46388</v>
      </c>
      <c r="F15" s="121">
        <v>0.2455</v>
      </c>
      <c r="G15" s="128"/>
    </row>
    <row r="16" spans="1:9" x14ac:dyDescent="0.25">
      <c r="A16" t="s">
        <v>22</v>
      </c>
      <c r="B16" t="s">
        <v>699</v>
      </c>
      <c r="C16" t="s">
        <v>31</v>
      </c>
      <c r="D16">
        <v>85533</v>
      </c>
      <c r="E16" s="120">
        <v>46388</v>
      </c>
      <c r="F16" s="121">
        <v>0.30080000000000001</v>
      </c>
      <c r="G16" s="128"/>
    </row>
    <row r="17" spans="1:9" x14ac:dyDescent="0.25">
      <c r="A17" t="s">
        <v>22</v>
      </c>
      <c r="B17" t="s">
        <v>700</v>
      </c>
      <c r="C17" t="s">
        <v>758</v>
      </c>
      <c r="D17">
        <v>13877</v>
      </c>
      <c r="E17" s="120">
        <v>46388</v>
      </c>
      <c r="F17" s="121">
        <v>0.33900000000000002</v>
      </c>
      <c r="G17" s="128"/>
    </row>
    <row r="18" spans="1:9" ht="15.75" thickBot="1" x14ac:dyDescent="0.3">
      <c r="A18" s="63" t="s">
        <v>22</v>
      </c>
      <c r="B18" s="63" t="s">
        <v>701</v>
      </c>
      <c r="C18" s="63" t="s">
        <v>1051</v>
      </c>
      <c r="D18" s="63">
        <v>40702</v>
      </c>
      <c r="E18" s="123">
        <v>46388</v>
      </c>
      <c r="F18" s="124">
        <v>0.2863</v>
      </c>
      <c r="G18" s="125"/>
      <c r="H18" s="63"/>
      <c r="I18" s="63"/>
    </row>
    <row r="19" spans="1:9" x14ac:dyDescent="0.25">
      <c r="A19" t="s">
        <v>50</v>
      </c>
      <c r="B19" t="s">
        <v>702</v>
      </c>
      <c r="C19" t="s">
        <v>1052</v>
      </c>
      <c r="D19">
        <v>27603</v>
      </c>
      <c r="E19" s="120">
        <v>46388</v>
      </c>
      <c r="F19" s="121">
        <v>0.1265</v>
      </c>
      <c r="G19" s="130">
        <v>0.1143</v>
      </c>
    </row>
    <row r="20" spans="1:9" x14ac:dyDescent="0.25">
      <c r="A20" t="s">
        <v>50</v>
      </c>
      <c r="B20" t="s">
        <v>704</v>
      </c>
      <c r="C20" t="s">
        <v>55</v>
      </c>
      <c r="D20">
        <v>47579</v>
      </c>
      <c r="E20" s="120">
        <v>46388</v>
      </c>
      <c r="F20" s="121">
        <v>0.16450000000000001</v>
      </c>
      <c r="G20" s="131"/>
    </row>
    <row r="21" spans="1:9" x14ac:dyDescent="0.25">
      <c r="A21" t="s">
        <v>50</v>
      </c>
      <c r="B21" t="s">
        <v>703</v>
      </c>
      <c r="C21" t="s">
        <v>1053</v>
      </c>
      <c r="D21">
        <v>70285</v>
      </c>
      <c r="E21" s="120">
        <v>46388</v>
      </c>
      <c r="F21" s="121">
        <v>0.125</v>
      </c>
      <c r="G21" s="131"/>
    </row>
    <row r="22" spans="1:9" x14ac:dyDescent="0.25">
      <c r="A22" t="s">
        <v>50</v>
      </c>
      <c r="B22" t="s">
        <v>706</v>
      </c>
      <c r="C22" t="s">
        <v>1054</v>
      </c>
      <c r="D22">
        <v>67138</v>
      </c>
      <c r="E22" s="120">
        <v>46388</v>
      </c>
      <c r="F22" s="121">
        <v>0.13320000000000001</v>
      </c>
      <c r="G22" s="131"/>
    </row>
    <row r="23" spans="1:9" x14ac:dyDescent="0.25">
      <c r="A23" t="s">
        <v>50</v>
      </c>
      <c r="B23" t="s">
        <v>61</v>
      </c>
      <c r="C23" t="s">
        <v>61</v>
      </c>
      <c r="D23">
        <v>51396</v>
      </c>
      <c r="E23" s="120">
        <v>46388</v>
      </c>
      <c r="F23" s="121">
        <v>5.62E-2</v>
      </c>
      <c r="G23" s="131"/>
    </row>
    <row r="24" spans="1:9" x14ac:dyDescent="0.25">
      <c r="A24" t="s">
        <v>50</v>
      </c>
      <c r="B24" t="s">
        <v>707</v>
      </c>
      <c r="C24" t="s">
        <v>1055</v>
      </c>
      <c r="D24">
        <v>40513</v>
      </c>
      <c r="E24" s="120">
        <v>46388</v>
      </c>
      <c r="F24" s="121">
        <v>6.3799999999999996E-2</v>
      </c>
      <c r="G24" s="131"/>
    </row>
    <row r="25" spans="1:9" x14ac:dyDescent="0.25">
      <c r="A25" t="s">
        <v>50</v>
      </c>
      <c r="B25" t="s">
        <v>708</v>
      </c>
      <c r="C25" t="s">
        <v>1056</v>
      </c>
      <c r="D25">
        <v>92815</v>
      </c>
      <c r="E25" s="120">
        <v>46388</v>
      </c>
      <c r="F25" s="121">
        <v>7.9799999999999996E-2</v>
      </c>
      <c r="G25" s="131"/>
    </row>
    <row r="26" spans="1:9" x14ac:dyDescent="0.25">
      <c r="A26" t="s">
        <v>50</v>
      </c>
      <c r="B26" t="s">
        <v>709</v>
      </c>
      <c r="C26" t="s">
        <v>1057</v>
      </c>
      <c r="D26">
        <v>18126</v>
      </c>
      <c r="E26" s="120">
        <v>46388</v>
      </c>
      <c r="F26" s="121">
        <v>0.17680000000000001</v>
      </c>
      <c r="G26" s="131"/>
    </row>
    <row r="27" spans="1:9" x14ac:dyDescent="0.25">
      <c r="A27" t="s">
        <v>50</v>
      </c>
      <c r="B27" t="s">
        <v>705</v>
      </c>
      <c r="C27" t="s">
        <v>1058</v>
      </c>
      <c r="D27">
        <v>84014</v>
      </c>
      <c r="E27" s="120">
        <v>46388</v>
      </c>
      <c r="F27" s="121">
        <v>0.20499999999999999</v>
      </c>
      <c r="G27" s="131"/>
    </row>
    <row r="28" spans="1:9" x14ac:dyDescent="0.25">
      <c r="A28" t="s">
        <v>50</v>
      </c>
      <c r="B28" t="s">
        <v>69</v>
      </c>
      <c r="C28" t="s">
        <v>69</v>
      </c>
      <c r="D28">
        <v>92499</v>
      </c>
      <c r="E28" s="120">
        <v>46388</v>
      </c>
      <c r="F28" s="121">
        <v>0.1174</v>
      </c>
      <c r="G28" s="131"/>
    </row>
    <row r="29" spans="1:9" x14ac:dyDescent="0.25">
      <c r="A29" t="s">
        <v>50</v>
      </c>
      <c r="B29" t="s">
        <v>1059</v>
      </c>
      <c r="C29" t="s">
        <v>1060</v>
      </c>
      <c r="D29">
        <v>64210</v>
      </c>
      <c r="E29" s="120">
        <v>46388</v>
      </c>
      <c r="F29" s="121">
        <v>3.0099999999999998E-2</v>
      </c>
      <c r="G29" s="131"/>
    </row>
    <row r="30" spans="1:9" ht="15.75" thickBot="1" x14ac:dyDescent="0.3">
      <c r="A30" s="63" t="s">
        <v>50</v>
      </c>
      <c r="B30" s="63" t="s">
        <v>710</v>
      </c>
      <c r="C30" s="63" t="s">
        <v>710</v>
      </c>
      <c r="D30" s="63">
        <v>93689</v>
      </c>
      <c r="E30" s="123">
        <v>46388</v>
      </c>
      <c r="F30" s="124">
        <v>9.3200000000000005E-2</v>
      </c>
      <c r="G30" s="132"/>
      <c r="H30" s="63"/>
      <c r="I30" s="63"/>
    </row>
    <row r="31" spans="1:9" x14ac:dyDescent="0.25">
      <c r="A31" t="s">
        <v>75</v>
      </c>
      <c r="B31" t="s">
        <v>711</v>
      </c>
      <c r="C31" t="s">
        <v>824</v>
      </c>
      <c r="D31">
        <v>76680</v>
      </c>
      <c r="E31" s="120">
        <v>46388</v>
      </c>
      <c r="F31" s="121">
        <v>0.10340000000000001</v>
      </c>
      <c r="G31" s="129">
        <v>0.15540000000000001</v>
      </c>
    </row>
    <row r="32" spans="1:9" x14ac:dyDescent="0.25">
      <c r="A32" t="s">
        <v>75</v>
      </c>
      <c r="B32" t="s">
        <v>712</v>
      </c>
      <c r="C32" t="s">
        <v>78</v>
      </c>
      <c r="D32">
        <v>66699</v>
      </c>
      <c r="E32" s="120">
        <v>46388</v>
      </c>
      <c r="F32" s="121">
        <v>0.18279999999999999</v>
      </c>
      <c r="G32" s="128"/>
    </row>
    <row r="33" spans="1:9" x14ac:dyDescent="0.25">
      <c r="A33" t="s">
        <v>75</v>
      </c>
      <c r="B33" t="s">
        <v>713</v>
      </c>
      <c r="C33" t="s">
        <v>1061</v>
      </c>
      <c r="D33">
        <v>21032</v>
      </c>
      <c r="E33" s="120">
        <v>46388</v>
      </c>
      <c r="F33" s="121">
        <v>0.10150000000000001</v>
      </c>
      <c r="G33" s="128"/>
    </row>
    <row r="34" spans="1:9" x14ac:dyDescent="0.25">
      <c r="A34" t="s">
        <v>75</v>
      </c>
      <c r="B34" t="s">
        <v>714</v>
      </c>
      <c r="C34" t="s">
        <v>714</v>
      </c>
      <c r="D34">
        <v>97879</v>
      </c>
      <c r="E34" s="120">
        <v>46388</v>
      </c>
      <c r="F34" s="121">
        <v>0.23930000000000001</v>
      </c>
      <c r="G34" s="128"/>
    </row>
    <row r="35" spans="1:9" ht="15.75" thickBot="1" x14ac:dyDescent="0.3">
      <c r="A35" s="63" t="s">
        <v>75</v>
      </c>
      <c r="B35" s="63" t="s">
        <v>715</v>
      </c>
      <c r="C35" s="63" t="s">
        <v>1062</v>
      </c>
      <c r="D35" s="63">
        <v>55584</v>
      </c>
      <c r="E35" s="123">
        <v>46388</v>
      </c>
      <c r="F35" s="124">
        <v>0.14979999999999999</v>
      </c>
      <c r="G35" s="125"/>
      <c r="H35" s="63"/>
      <c r="I35" s="63"/>
    </row>
    <row r="36" spans="1:9" x14ac:dyDescent="0.25">
      <c r="A36" t="s">
        <v>88</v>
      </c>
      <c r="B36" t="s">
        <v>716</v>
      </c>
      <c r="C36" t="s">
        <v>1063</v>
      </c>
      <c r="D36">
        <v>86545</v>
      </c>
      <c r="E36" s="120">
        <v>46388</v>
      </c>
      <c r="F36" s="121">
        <v>0.12839999999999999</v>
      </c>
      <c r="G36" s="133">
        <v>17.79</v>
      </c>
    </row>
    <row r="37" spans="1:9" ht="15.75" thickBot="1" x14ac:dyDescent="0.3">
      <c r="A37" s="63" t="s">
        <v>88</v>
      </c>
      <c r="B37" s="63" t="s">
        <v>717</v>
      </c>
      <c r="C37" s="63" t="s">
        <v>91</v>
      </c>
      <c r="D37" s="63">
        <v>76962</v>
      </c>
      <c r="E37" s="123">
        <v>46388</v>
      </c>
      <c r="F37" s="124">
        <v>0.2273</v>
      </c>
      <c r="G37" s="125"/>
      <c r="H37" s="63"/>
      <c r="I37" s="63"/>
    </row>
    <row r="38" spans="1:9" x14ac:dyDescent="0.25">
      <c r="A38" t="s">
        <v>103</v>
      </c>
      <c r="B38" t="s">
        <v>721</v>
      </c>
      <c r="C38" t="s">
        <v>1064</v>
      </c>
      <c r="D38">
        <v>86052</v>
      </c>
      <c r="E38" s="120">
        <v>46388</v>
      </c>
      <c r="F38" s="121">
        <v>8.9800000000000005E-2</v>
      </c>
      <c r="G38" s="134">
        <v>9.6</v>
      </c>
    </row>
    <row r="39" spans="1:9" x14ac:dyDescent="0.25">
      <c r="A39" t="s">
        <v>103</v>
      </c>
      <c r="B39" t="s">
        <v>722</v>
      </c>
      <c r="C39" t="s">
        <v>1065</v>
      </c>
      <c r="D39">
        <v>78079</v>
      </c>
      <c r="E39" s="120">
        <v>46388</v>
      </c>
      <c r="F39" s="121">
        <v>9.5699999999999993E-2</v>
      </c>
      <c r="G39" s="135"/>
    </row>
    <row r="40" spans="1:9" ht="15.75" thickBot="1" x14ac:dyDescent="0.3">
      <c r="A40" s="63" t="s">
        <v>103</v>
      </c>
      <c r="B40" s="63" t="s">
        <v>723</v>
      </c>
      <c r="C40" s="63" t="s">
        <v>929</v>
      </c>
      <c r="D40" s="63">
        <v>94506</v>
      </c>
      <c r="E40" s="123">
        <v>46388</v>
      </c>
      <c r="F40" s="124">
        <v>0.10249999999999999</v>
      </c>
      <c r="G40" s="136"/>
      <c r="H40" s="63"/>
      <c r="I40" s="63"/>
    </row>
    <row r="41" spans="1:9" x14ac:dyDescent="0.25">
      <c r="A41" t="s">
        <v>97</v>
      </c>
      <c r="B41" t="s">
        <v>719</v>
      </c>
      <c r="C41" t="s">
        <v>1066</v>
      </c>
      <c r="D41">
        <v>72760</v>
      </c>
      <c r="E41" s="120">
        <v>46388</v>
      </c>
      <c r="F41" s="121">
        <v>0.1353</v>
      </c>
      <c r="G41" s="129">
        <v>0.16889999999999999</v>
      </c>
    </row>
    <row r="42" spans="1:9" ht="15.75" thickBot="1" x14ac:dyDescent="0.3">
      <c r="A42" s="63" t="s">
        <v>97</v>
      </c>
      <c r="B42" s="63" t="s">
        <v>720</v>
      </c>
      <c r="C42" s="63" t="s">
        <v>1067</v>
      </c>
      <c r="D42" s="63">
        <v>76168</v>
      </c>
      <c r="E42" s="123">
        <v>46388</v>
      </c>
      <c r="F42" s="124">
        <v>0.2024</v>
      </c>
      <c r="G42" s="137"/>
      <c r="H42" s="63"/>
      <c r="I42" s="63"/>
    </row>
    <row r="43" spans="1:9" x14ac:dyDescent="0.25">
      <c r="A43" t="s">
        <v>110</v>
      </c>
      <c r="B43" t="s">
        <v>724</v>
      </c>
      <c r="C43" t="s">
        <v>1049</v>
      </c>
      <c r="D43">
        <v>18009</v>
      </c>
      <c r="E43" s="120">
        <v>46388</v>
      </c>
      <c r="F43" s="121">
        <v>7.3999999999999996E-2</v>
      </c>
      <c r="G43" s="129">
        <v>0.1527</v>
      </c>
    </row>
    <row r="44" spans="1:9" x14ac:dyDescent="0.25">
      <c r="A44" t="s">
        <v>110</v>
      </c>
      <c r="B44" t="s">
        <v>725</v>
      </c>
      <c r="C44" t="s">
        <v>1068</v>
      </c>
      <c r="D44">
        <v>67926</v>
      </c>
      <c r="E44" s="120">
        <v>46388</v>
      </c>
      <c r="F44" s="121">
        <v>0.39140000000000003</v>
      </c>
      <c r="G44" s="126"/>
    </row>
    <row r="45" spans="1:9" x14ac:dyDescent="0.25">
      <c r="A45" t="s">
        <v>110</v>
      </c>
      <c r="B45" t="s">
        <v>726</v>
      </c>
      <c r="C45" t="s">
        <v>1069</v>
      </c>
      <c r="D45">
        <v>19898</v>
      </c>
      <c r="E45" s="120">
        <v>46388</v>
      </c>
      <c r="F45" s="121">
        <v>9.7900000000000001E-2</v>
      </c>
      <c r="G45" s="126"/>
    </row>
    <row r="46" spans="1:9" x14ac:dyDescent="0.25">
      <c r="A46" t="s">
        <v>110</v>
      </c>
      <c r="B46" t="s">
        <v>727</v>
      </c>
      <c r="C46" t="s">
        <v>1070</v>
      </c>
      <c r="D46">
        <v>16842</v>
      </c>
      <c r="E46" s="120">
        <v>46388</v>
      </c>
      <c r="F46" s="121">
        <v>0.26040000000000002</v>
      </c>
      <c r="G46" s="126"/>
    </row>
    <row r="47" spans="1:9" x14ac:dyDescent="0.25">
      <c r="A47" t="s">
        <v>110</v>
      </c>
      <c r="B47" t="s">
        <v>1071</v>
      </c>
      <c r="C47" t="s">
        <v>1071</v>
      </c>
      <c r="D47">
        <v>66966</v>
      </c>
      <c r="E47" s="120">
        <v>46388</v>
      </c>
      <c r="F47" s="121">
        <v>0.10979999999999999</v>
      </c>
      <c r="G47" s="126"/>
    </row>
    <row r="48" spans="1:9" x14ac:dyDescent="0.25">
      <c r="A48" t="s">
        <v>110</v>
      </c>
      <c r="B48" t="s">
        <v>729</v>
      </c>
      <c r="C48" t="s">
        <v>1072</v>
      </c>
      <c r="D48">
        <v>49004</v>
      </c>
      <c r="E48" s="120">
        <v>46388</v>
      </c>
      <c r="F48" s="121">
        <v>3.8699999999999998E-2</v>
      </c>
      <c r="G48" s="126"/>
    </row>
    <row r="49" spans="1:9" x14ac:dyDescent="0.25">
      <c r="A49" t="s">
        <v>110</v>
      </c>
      <c r="B49" t="s">
        <v>730</v>
      </c>
      <c r="C49" t="s">
        <v>1073</v>
      </c>
      <c r="D49">
        <v>56503</v>
      </c>
      <c r="E49" s="120">
        <v>46388</v>
      </c>
      <c r="F49" s="121">
        <v>0.1585</v>
      </c>
      <c r="G49" s="126"/>
    </row>
    <row r="50" spans="1:9" x14ac:dyDescent="0.25">
      <c r="A50" t="s">
        <v>110</v>
      </c>
      <c r="B50" t="s">
        <v>731</v>
      </c>
      <c r="C50" t="s">
        <v>1074</v>
      </c>
      <c r="D50">
        <v>36194</v>
      </c>
      <c r="E50" s="120">
        <v>46388</v>
      </c>
      <c r="F50" s="121">
        <v>0.13550000000000001</v>
      </c>
      <c r="G50" s="126"/>
    </row>
    <row r="51" spans="1:9" x14ac:dyDescent="0.25">
      <c r="A51" t="s">
        <v>110</v>
      </c>
      <c r="B51" t="s">
        <v>732</v>
      </c>
      <c r="C51" t="s">
        <v>1075</v>
      </c>
      <c r="D51">
        <v>30252</v>
      </c>
      <c r="E51" s="120">
        <v>46388</v>
      </c>
      <c r="F51" s="121">
        <v>9.7500000000000003E-2</v>
      </c>
      <c r="G51" s="126"/>
    </row>
    <row r="52" spans="1:9" x14ac:dyDescent="0.25">
      <c r="A52" t="s">
        <v>110</v>
      </c>
      <c r="B52" t="s">
        <v>733</v>
      </c>
      <c r="C52" t="s">
        <v>1076</v>
      </c>
      <c r="D52">
        <v>21525</v>
      </c>
      <c r="E52" s="120">
        <v>46388</v>
      </c>
      <c r="F52" s="121">
        <v>0.1037</v>
      </c>
      <c r="G52" s="126"/>
    </row>
    <row r="53" spans="1:9" x14ac:dyDescent="0.25">
      <c r="A53" t="s">
        <v>110</v>
      </c>
      <c r="B53" t="s">
        <v>734</v>
      </c>
      <c r="C53" t="s">
        <v>734</v>
      </c>
      <c r="D53">
        <v>40572</v>
      </c>
      <c r="E53" s="120">
        <v>46388</v>
      </c>
      <c r="F53" s="121">
        <v>4.2099999999999999E-2</v>
      </c>
      <c r="G53" s="126"/>
    </row>
    <row r="54" spans="1:9" x14ac:dyDescent="0.25">
      <c r="A54" t="s">
        <v>110</v>
      </c>
      <c r="B54" t="s">
        <v>735</v>
      </c>
      <c r="C54" t="s">
        <v>1077</v>
      </c>
      <c r="D54">
        <v>44228</v>
      </c>
      <c r="E54" s="120">
        <v>46388</v>
      </c>
      <c r="F54" s="121">
        <v>0.17330000000000001</v>
      </c>
      <c r="G54" s="126"/>
    </row>
    <row r="55" spans="1:9" ht="15.75" thickBot="1" x14ac:dyDescent="0.3">
      <c r="A55" s="63" t="s">
        <v>110</v>
      </c>
      <c r="B55" s="63" t="s">
        <v>736</v>
      </c>
      <c r="C55" s="63" t="s">
        <v>136</v>
      </c>
      <c r="D55" s="63">
        <v>68398</v>
      </c>
      <c r="E55" s="123">
        <v>46388</v>
      </c>
      <c r="F55" s="124">
        <v>0.30170000000000002</v>
      </c>
      <c r="G55" s="137"/>
      <c r="H55" s="63"/>
      <c r="I55" s="63"/>
    </row>
    <row r="56" spans="1:9" x14ac:dyDescent="0.25">
      <c r="A56" t="s">
        <v>138</v>
      </c>
      <c r="B56" t="s">
        <v>737</v>
      </c>
      <c r="C56" t="s">
        <v>737</v>
      </c>
      <c r="D56">
        <v>83761</v>
      </c>
      <c r="E56" s="120">
        <v>46388</v>
      </c>
      <c r="F56" s="121">
        <v>0.21529999999999999</v>
      </c>
      <c r="G56" s="129">
        <v>0.24129999999999999</v>
      </c>
    </row>
    <row r="57" spans="1:9" x14ac:dyDescent="0.25">
      <c r="A57" t="s">
        <v>138</v>
      </c>
      <c r="B57" t="s">
        <v>738</v>
      </c>
      <c r="C57" t="s">
        <v>738</v>
      </c>
      <c r="D57">
        <v>70893</v>
      </c>
      <c r="E57" s="120">
        <v>46388</v>
      </c>
      <c r="F57" s="121">
        <v>0.1797</v>
      </c>
      <c r="G57" s="128"/>
    </row>
    <row r="58" spans="1:9" x14ac:dyDescent="0.25">
      <c r="A58" t="s">
        <v>138</v>
      </c>
      <c r="B58" t="s">
        <v>1078</v>
      </c>
      <c r="C58" t="s">
        <v>1079</v>
      </c>
      <c r="D58">
        <v>45334</v>
      </c>
      <c r="E58" s="120">
        <v>46388</v>
      </c>
      <c r="F58" s="121">
        <v>0.122</v>
      </c>
      <c r="G58" s="128"/>
    </row>
    <row r="59" spans="1:9" x14ac:dyDescent="0.25">
      <c r="A59" t="s">
        <v>138</v>
      </c>
      <c r="B59" t="s">
        <v>740</v>
      </c>
      <c r="C59" t="s">
        <v>1080</v>
      </c>
      <c r="D59">
        <v>49046</v>
      </c>
      <c r="E59" s="120">
        <v>46388</v>
      </c>
      <c r="F59" s="121">
        <v>0.16900000000000001</v>
      </c>
      <c r="G59" s="128"/>
    </row>
    <row r="60" spans="1:9" x14ac:dyDescent="0.25">
      <c r="A60" t="s">
        <v>138</v>
      </c>
      <c r="B60" t="s">
        <v>741</v>
      </c>
      <c r="C60" t="s">
        <v>1081</v>
      </c>
      <c r="D60">
        <v>60224</v>
      </c>
      <c r="E60" s="120">
        <v>46388</v>
      </c>
      <c r="F60" s="121">
        <v>0.27750000000000002</v>
      </c>
      <c r="G60" s="128"/>
    </row>
    <row r="61" spans="1:9" x14ac:dyDescent="0.25">
      <c r="A61" t="s">
        <v>138</v>
      </c>
      <c r="B61" t="s">
        <v>742</v>
      </c>
      <c r="C61" t="s">
        <v>742</v>
      </c>
      <c r="D61">
        <v>89942</v>
      </c>
      <c r="E61" s="120">
        <v>46388</v>
      </c>
      <c r="F61" s="121">
        <v>0.2021</v>
      </c>
      <c r="G61" s="128"/>
    </row>
    <row r="62" spans="1:9" x14ac:dyDescent="0.25">
      <c r="A62" t="s">
        <v>138</v>
      </c>
      <c r="B62" t="s">
        <v>743</v>
      </c>
      <c r="C62" t="s">
        <v>743</v>
      </c>
      <c r="D62">
        <v>58081</v>
      </c>
      <c r="E62" s="120">
        <v>46388</v>
      </c>
      <c r="F62" s="121">
        <v>0.26939999999999997</v>
      </c>
      <c r="G62" s="128"/>
    </row>
    <row r="63" spans="1:9" x14ac:dyDescent="0.25">
      <c r="A63" t="s">
        <v>138</v>
      </c>
      <c r="B63" t="s">
        <v>744</v>
      </c>
      <c r="C63" t="s">
        <v>1049</v>
      </c>
      <c r="D63">
        <v>45495</v>
      </c>
      <c r="E63" s="120">
        <v>46388</v>
      </c>
      <c r="F63" s="121">
        <v>0.1968</v>
      </c>
      <c r="G63" s="128"/>
    </row>
    <row r="64" spans="1:9" ht="15.75" thickBot="1" x14ac:dyDescent="0.3">
      <c r="A64" s="63" t="s">
        <v>138</v>
      </c>
      <c r="B64" s="63" t="s">
        <v>745</v>
      </c>
      <c r="C64" s="63" t="s">
        <v>1082</v>
      </c>
      <c r="D64" s="63">
        <v>43802</v>
      </c>
      <c r="E64" s="123">
        <v>46388</v>
      </c>
      <c r="F64" s="124">
        <v>0.53979999999999995</v>
      </c>
      <c r="G64" s="125"/>
      <c r="H64" s="63"/>
      <c r="I64" s="63"/>
    </row>
    <row r="65" spans="1:9" x14ac:dyDescent="0.25">
      <c r="A65" t="s">
        <v>159</v>
      </c>
      <c r="B65" t="s">
        <v>746</v>
      </c>
      <c r="C65" t="s">
        <v>746</v>
      </c>
      <c r="D65">
        <v>18350</v>
      </c>
      <c r="E65" s="120">
        <v>46388</v>
      </c>
      <c r="F65" s="121">
        <v>0.13139999999999999</v>
      </c>
      <c r="G65" s="129">
        <v>0.1108</v>
      </c>
    </row>
    <row r="66" spans="1:9" ht="15.75" thickBot="1" x14ac:dyDescent="0.3">
      <c r="A66" s="63" t="s">
        <v>159</v>
      </c>
      <c r="B66" s="63" t="s">
        <v>747</v>
      </c>
      <c r="C66" s="63" t="s">
        <v>1055</v>
      </c>
      <c r="D66" s="63">
        <v>60612</v>
      </c>
      <c r="E66" s="123">
        <v>46388</v>
      </c>
      <c r="F66" s="124">
        <v>9.01E-2</v>
      </c>
      <c r="G66" s="125"/>
      <c r="H66" s="63"/>
      <c r="I66" s="63"/>
    </row>
    <row r="67" spans="1:9" x14ac:dyDescent="0.25">
      <c r="A67" t="s">
        <v>203</v>
      </c>
      <c r="B67" t="s">
        <v>764</v>
      </c>
      <c r="C67" t="s">
        <v>1083</v>
      </c>
      <c r="D67">
        <v>74980</v>
      </c>
      <c r="E67" s="120">
        <v>46388</v>
      </c>
      <c r="F67" s="121">
        <v>0.1482</v>
      </c>
      <c r="G67" s="129">
        <v>0.11269999999999999</v>
      </c>
    </row>
    <row r="68" spans="1:9" x14ac:dyDescent="0.25">
      <c r="A68" t="s">
        <v>203</v>
      </c>
      <c r="B68" t="s">
        <v>765</v>
      </c>
      <c r="C68" t="s">
        <v>1049</v>
      </c>
      <c r="D68">
        <v>48286</v>
      </c>
      <c r="E68" s="120">
        <v>46388</v>
      </c>
      <c r="F68" s="121">
        <v>0.16839999999999999</v>
      </c>
      <c r="G68" s="128"/>
    </row>
    <row r="69" spans="1:9" x14ac:dyDescent="0.25">
      <c r="A69" t="s">
        <v>203</v>
      </c>
      <c r="B69" t="s">
        <v>687</v>
      </c>
      <c r="C69" t="s">
        <v>687</v>
      </c>
      <c r="D69">
        <v>45819</v>
      </c>
      <c r="E69" s="120">
        <v>46388</v>
      </c>
      <c r="F69" s="121">
        <v>7.9399999999999998E-2</v>
      </c>
      <c r="G69" s="128"/>
    </row>
    <row r="70" spans="1:9" x14ac:dyDescent="0.25">
      <c r="A70" t="s">
        <v>203</v>
      </c>
      <c r="B70" t="s">
        <v>766</v>
      </c>
      <c r="C70" t="s">
        <v>1084</v>
      </c>
      <c r="D70">
        <v>56610</v>
      </c>
      <c r="E70" s="120">
        <v>46388</v>
      </c>
      <c r="F70" s="121">
        <v>0.1177</v>
      </c>
      <c r="G70" s="128"/>
    </row>
    <row r="71" spans="1:9" ht="15.75" thickBot="1" x14ac:dyDescent="0.3">
      <c r="A71" s="63" t="s">
        <v>203</v>
      </c>
      <c r="B71" s="63" t="s">
        <v>767</v>
      </c>
      <c r="C71" s="63" t="s">
        <v>767</v>
      </c>
      <c r="D71" s="63">
        <v>25896</v>
      </c>
      <c r="E71" s="123">
        <v>46388</v>
      </c>
      <c r="F71" s="124">
        <v>4.9799999999999997E-2</v>
      </c>
      <c r="G71" s="125"/>
      <c r="H71" s="63"/>
      <c r="I71" s="63"/>
    </row>
    <row r="72" spans="1:9" x14ac:dyDescent="0.25">
      <c r="A72" t="s">
        <v>164</v>
      </c>
      <c r="B72" t="s">
        <v>748</v>
      </c>
      <c r="C72" t="s">
        <v>1085</v>
      </c>
      <c r="D72">
        <v>61589</v>
      </c>
      <c r="E72" s="120">
        <v>46388</v>
      </c>
      <c r="F72" s="121">
        <v>0.1275</v>
      </c>
      <c r="G72" s="129">
        <v>0.1527</v>
      </c>
    </row>
    <row r="73" spans="1:9" x14ac:dyDescent="0.25">
      <c r="A73" t="s">
        <v>164</v>
      </c>
      <c r="B73" t="s">
        <v>749</v>
      </c>
      <c r="C73" t="s">
        <v>18</v>
      </c>
      <c r="D73">
        <v>80588</v>
      </c>
      <c r="E73" s="120">
        <v>46388</v>
      </c>
      <c r="F73" s="121">
        <v>0.26819999999999999</v>
      </c>
      <c r="G73" s="126"/>
    </row>
    <row r="74" spans="1:9" x14ac:dyDescent="0.25">
      <c r="A74" t="s">
        <v>164</v>
      </c>
      <c r="B74" t="s">
        <v>750</v>
      </c>
      <c r="C74" t="s">
        <v>1086</v>
      </c>
      <c r="D74">
        <v>91278</v>
      </c>
      <c r="E74" s="120">
        <v>46388</v>
      </c>
      <c r="F74" s="121">
        <v>0.1293</v>
      </c>
      <c r="G74" s="126"/>
    </row>
    <row r="75" spans="1:9" x14ac:dyDescent="0.25">
      <c r="A75" t="s">
        <v>164</v>
      </c>
      <c r="B75" t="s">
        <v>751</v>
      </c>
      <c r="C75" t="s">
        <v>1087</v>
      </c>
      <c r="D75">
        <v>38128</v>
      </c>
      <c r="E75" s="120">
        <v>46388</v>
      </c>
      <c r="F75" s="121">
        <v>0.19359999999999999</v>
      </c>
      <c r="G75" s="126"/>
    </row>
    <row r="76" spans="1:9" x14ac:dyDescent="0.25">
      <c r="A76" t="s">
        <v>164</v>
      </c>
      <c r="B76" t="s">
        <v>752</v>
      </c>
      <c r="C76" t="s">
        <v>752</v>
      </c>
      <c r="D76">
        <v>44648</v>
      </c>
      <c r="E76" s="120">
        <v>46388</v>
      </c>
      <c r="F76" s="121">
        <v>9.3299999999999994E-2</v>
      </c>
      <c r="G76" s="126"/>
    </row>
    <row r="77" spans="1:9" x14ac:dyDescent="0.25">
      <c r="A77" t="s">
        <v>164</v>
      </c>
      <c r="B77" t="s">
        <v>753</v>
      </c>
      <c r="C77" t="s">
        <v>1062</v>
      </c>
      <c r="D77">
        <v>26002</v>
      </c>
      <c r="E77" s="120">
        <v>46388</v>
      </c>
      <c r="F77" s="121">
        <v>0.113</v>
      </c>
      <c r="G77" s="126"/>
    </row>
    <row r="78" spans="1:9" ht="15.75" thickBot="1" x14ac:dyDescent="0.3">
      <c r="A78" s="63" t="s">
        <v>164</v>
      </c>
      <c r="B78" s="63" t="s">
        <v>754</v>
      </c>
      <c r="C78" s="63" t="s">
        <v>1088</v>
      </c>
      <c r="D78" s="63">
        <v>92170</v>
      </c>
      <c r="E78" s="123">
        <v>46388</v>
      </c>
      <c r="F78" s="124">
        <v>0.14410000000000001</v>
      </c>
      <c r="G78" s="63"/>
      <c r="H78" s="63"/>
      <c r="I78" s="63"/>
    </row>
    <row r="79" spans="1:9" x14ac:dyDescent="0.25">
      <c r="A79" t="s">
        <v>180</v>
      </c>
      <c r="B79" t="s">
        <v>755</v>
      </c>
      <c r="C79" t="s">
        <v>755</v>
      </c>
      <c r="D79">
        <v>36096</v>
      </c>
      <c r="E79" s="120">
        <v>46388</v>
      </c>
      <c r="F79" s="121">
        <v>0.14879999999999999</v>
      </c>
      <c r="G79" s="129">
        <v>0.1052</v>
      </c>
    </row>
    <row r="80" spans="1:9" x14ac:dyDescent="0.25">
      <c r="A80" t="s">
        <v>180</v>
      </c>
      <c r="B80" t="s">
        <v>686</v>
      </c>
      <c r="C80" t="s">
        <v>1089</v>
      </c>
      <c r="D80">
        <v>27833</v>
      </c>
      <c r="E80" s="120">
        <v>46388</v>
      </c>
      <c r="F80" s="121">
        <v>9.2399999999999996E-2</v>
      </c>
      <c r="G80" s="128"/>
    </row>
    <row r="81" spans="1:9" x14ac:dyDescent="0.25">
      <c r="A81" t="s">
        <v>180</v>
      </c>
      <c r="B81" t="s">
        <v>756</v>
      </c>
      <c r="C81" t="s">
        <v>950</v>
      </c>
      <c r="D81">
        <v>54322</v>
      </c>
      <c r="E81" s="120">
        <v>46388</v>
      </c>
      <c r="F81" s="121">
        <v>0.1215</v>
      </c>
      <c r="G81" s="128"/>
    </row>
    <row r="82" spans="1:9" x14ac:dyDescent="0.25">
      <c r="A82" t="s">
        <v>180</v>
      </c>
      <c r="B82" t="s">
        <v>757</v>
      </c>
      <c r="C82" t="s">
        <v>757</v>
      </c>
      <c r="D82">
        <v>32355</v>
      </c>
      <c r="E82" s="120">
        <v>46388</v>
      </c>
      <c r="F82" s="121">
        <v>1.83E-2</v>
      </c>
      <c r="G82" s="128"/>
    </row>
    <row r="83" spans="1:9" x14ac:dyDescent="0.25">
      <c r="A83" t="s">
        <v>180</v>
      </c>
      <c r="B83" t="s">
        <v>758</v>
      </c>
      <c r="C83" t="s">
        <v>758</v>
      </c>
      <c r="D83">
        <v>11574</v>
      </c>
      <c r="E83" s="120">
        <v>46388</v>
      </c>
      <c r="F83" s="121">
        <v>0.1268</v>
      </c>
      <c r="G83" s="128"/>
    </row>
    <row r="84" spans="1:9" ht="15.75" thickBot="1" x14ac:dyDescent="0.3">
      <c r="A84" s="63" t="s">
        <v>180</v>
      </c>
      <c r="B84" s="63" t="s">
        <v>759</v>
      </c>
      <c r="C84" s="63" t="s">
        <v>759</v>
      </c>
      <c r="D84" s="63">
        <v>42529</v>
      </c>
      <c r="E84" s="123">
        <v>46388</v>
      </c>
      <c r="F84" s="124">
        <v>0.1235</v>
      </c>
      <c r="G84" s="125"/>
      <c r="H84" s="63"/>
      <c r="I84" s="63"/>
    </row>
    <row r="85" spans="1:9" x14ac:dyDescent="0.25">
      <c r="A85" t="s">
        <v>193</v>
      </c>
      <c r="B85" t="s">
        <v>762</v>
      </c>
      <c r="C85" t="s">
        <v>1090</v>
      </c>
      <c r="D85">
        <v>17575</v>
      </c>
      <c r="E85" s="120">
        <v>46388</v>
      </c>
      <c r="F85" s="121">
        <v>0.156</v>
      </c>
      <c r="G85" s="129">
        <v>0.22070000000000001</v>
      </c>
    </row>
    <row r="86" spans="1:9" x14ac:dyDescent="0.25">
      <c r="A86" t="s">
        <v>193</v>
      </c>
      <c r="B86" t="s">
        <v>686</v>
      </c>
      <c r="C86" t="s">
        <v>1049</v>
      </c>
      <c r="D86">
        <v>76179</v>
      </c>
      <c r="E86" s="120">
        <v>46388</v>
      </c>
      <c r="F86" s="121">
        <v>0.15340000000000001</v>
      </c>
      <c r="G86" s="126"/>
    </row>
    <row r="87" spans="1:9" x14ac:dyDescent="0.25">
      <c r="A87" t="s">
        <v>193</v>
      </c>
      <c r="B87" t="s">
        <v>763</v>
      </c>
      <c r="C87" t="s">
        <v>763</v>
      </c>
      <c r="D87">
        <v>35065</v>
      </c>
      <c r="E87" s="120">
        <v>46388</v>
      </c>
      <c r="F87" s="121">
        <v>0.25240000000000001</v>
      </c>
      <c r="G87" s="126"/>
    </row>
    <row r="88" spans="1:9" ht="15.75" thickBot="1" x14ac:dyDescent="0.3">
      <c r="A88" s="63" t="s">
        <v>193</v>
      </c>
      <c r="B88" s="63" t="s">
        <v>560</v>
      </c>
      <c r="C88" s="63" t="s">
        <v>560</v>
      </c>
      <c r="D88" s="63">
        <v>72850</v>
      </c>
      <c r="E88" s="123">
        <v>46388</v>
      </c>
      <c r="F88" s="124">
        <v>0.32100000000000001</v>
      </c>
      <c r="G88" s="137"/>
      <c r="H88" s="63"/>
      <c r="I88" s="63"/>
    </row>
    <row r="89" spans="1:9" x14ac:dyDescent="0.25">
      <c r="A89" t="s">
        <v>214</v>
      </c>
      <c r="B89" t="s">
        <v>768</v>
      </c>
      <c r="C89" t="s">
        <v>1049</v>
      </c>
      <c r="D89">
        <v>16916</v>
      </c>
      <c r="E89" s="120">
        <v>46388</v>
      </c>
      <c r="F89" s="121">
        <v>0.16739999999999999</v>
      </c>
      <c r="G89" s="129">
        <v>0.19939999999999999</v>
      </c>
    </row>
    <row r="90" spans="1:9" x14ac:dyDescent="0.25">
      <c r="A90" t="s">
        <v>214</v>
      </c>
      <c r="B90" t="s">
        <v>769</v>
      </c>
      <c r="C90" t="s">
        <v>1091</v>
      </c>
      <c r="D90">
        <v>94248</v>
      </c>
      <c r="E90" s="120">
        <v>46388</v>
      </c>
      <c r="F90" s="121">
        <v>0.15379999999999999</v>
      </c>
      <c r="G90" s="126"/>
    </row>
    <row r="91" spans="1:9" x14ac:dyDescent="0.25">
      <c r="A91" t="s">
        <v>214</v>
      </c>
      <c r="B91" t="s">
        <v>770</v>
      </c>
      <c r="C91" t="s">
        <v>1092</v>
      </c>
      <c r="D91">
        <v>18558</v>
      </c>
      <c r="E91" s="120">
        <v>46388</v>
      </c>
      <c r="F91" s="121">
        <v>0.1603</v>
      </c>
      <c r="G91" s="126"/>
    </row>
    <row r="92" spans="1:9" x14ac:dyDescent="0.25">
      <c r="A92" t="s">
        <v>214</v>
      </c>
      <c r="B92" t="s">
        <v>686</v>
      </c>
      <c r="C92" t="s">
        <v>686</v>
      </c>
      <c r="D92">
        <v>34368</v>
      </c>
      <c r="E92" s="120">
        <v>46388</v>
      </c>
      <c r="F92" s="121">
        <v>0.1671</v>
      </c>
      <c r="G92" s="126"/>
    </row>
    <row r="93" spans="1:9" x14ac:dyDescent="0.25">
      <c r="A93" t="s">
        <v>214</v>
      </c>
      <c r="B93" t="s">
        <v>687</v>
      </c>
      <c r="C93" t="s">
        <v>687</v>
      </c>
      <c r="D93">
        <v>43490</v>
      </c>
      <c r="E93" s="120">
        <v>46388</v>
      </c>
      <c r="F93" s="121">
        <v>0.19989999999999999</v>
      </c>
      <c r="G93" s="126"/>
    </row>
    <row r="94" spans="1:9" ht="15.75" thickBot="1" x14ac:dyDescent="0.3">
      <c r="A94" s="63" t="s">
        <v>214</v>
      </c>
      <c r="B94" s="63" t="s">
        <v>771</v>
      </c>
      <c r="C94" s="63" t="s">
        <v>560</v>
      </c>
      <c r="D94" s="63">
        <v>94968</v>
      </c>
      <c r="E94" s="123">
        <v>46388</v>
      </c>
      <c r="F94" s="124">
        <v>0.34810000000000002</v>
      </c>
      <c r="G94" s="137"/>
      <c r="H94" s="63"/>
      <c r="I94" s="63"/>
    </row>
    <row r="95" spans="1:9" x14ac:dyDescent="0.25">
      <c r="A95" t="s">
        <v>223</v>
      </c>
      <c r="B95" t="s">
        <v>772</v>
      </c>
      <c r="C95" t="s">
        <v>1093</v>
      </c>
      <c r="D95">
        <v>36239</v>
      </c>
      <c r="E95" s="120">
        <v>46388</v>
      </c>
      <c r="F95" s="121">
        <v>0.1691</v>
      </c>
      <c r="G95" s="129">
        <v>0.19589999999999999</v>
      </c>
    </row>
    <row r="96" spans="1:9" x14ac:dyDescent="0.25">
      <c r="A96" t="s">
        <v>223</v>
      </c>
      <c r="B96" t="s">
        <v>773</v>
      </c>
      <c r="C96" t="s">
        <v>1094</v>
      </c>
      <c r="D96">
        <v>73891</v>
      </c>
      <c r="E96" s="120">
        <v>46388</v>
      </c>
      <c r="F96" s="121">
        <v>0.21190000000000001</v>
      </c>
      <c r="G96" s="126"/>
    </row>
    <row r="97" spans="1:9" ht="15.75" thickBot="1" x14ac:dyDescent="0.3">
      <c r="A97" s="63" t="s">
        <v>223</v>
      </c>
      <c r="B97" s="63" t="s">
        <v>774</v>
      </c>
      <c r="C97" s="63" t="s">
        <v>1095</v>
      </c>
      <c r="D97" s="63">
        <v>72001</v>
      </c>
      <c r="E97" s="123">
        <v>46388</v>
      </c>
      <c r="F97" s="124">
        <v>0.20669999999999999</v>
      </c>
      <c r="G97" s="137"/>
      <c r="H97" s="63"/>
      <c r="I97" s="63"/>
    </row>
    <row r="98" spans="1:9" x14ac:dyDescent="0.25">
      <c r="A98" t="s">
        <v>230</v>
      </c>
      <c r="B98" t="s">
        <v>775</v>
      </c>
      <c r="C98" t="s">
        <v>1096</v>
      </c>
      <c r="D98">
        <v>90787</v>
      </c>
      <c r="E98" s="120">
        <v>46388</v>
      </c>
      <c r="F98" s="121">
        <v>0.22270000000000001</v>
      </c>
      <c r="G98" s="129">
        <v>0.15770000000000001</v>
      </c>
    </row>
    <row r="99" spans="1:9" x14ac:dyDescent="0.25">
      <c r="A99" t="s">
        <v>230</v>
      </c>
      <c r="B99" t="s">
        <v>776</v>
      </c>
      <c r="C99" t="s">
        <v>1097</v>
      </c>
      <c r="D99">
        <v>38246</v>
      </c>
      <c r="E99" s="120">
        <v>46388</v>
      </c>
      <c r="F99" s="121">
        <v>0.1051</v>
      </c>
      <c r="G99" s="126"/>
    </row>
    <row r="100" spans="1:9" x14ac:dyDescent="0.25">
      <c r="A100" t="s">
        <v>230</v>
      </c>
      <c r="B100" t="s">
        <v>777</v>
      </c>
      <c r="C100" t="s">
        <v>1098</v>
      </c>
      <c r="D100">
        <v>98780</v>
      </c>
      <c r="E100" s="120">
        <v>46388</v>
      </c>
      <c r="F100" s="121">
        <v>0.13789999999999999</v>
      </c>
      <c r="G100" s="126"/>
    </row>
    <row r="101" spans="1:9" x14ac:dyDescent="0.25">
      <c r="A101" t="s">
        <v>230</v>
      </c>
      <c r="B101" t="s">
        <v>778</v>
      </c>
      <c r="C101" t="s">
        <v>1099</v>
      </c>
      <c r="D101">
        <v>19636</v>
      </c>
      <c r="E101" s="120">
        <v>46388</v>
      </c>
      <c r="F101" s="121">
        <v>0.13250000000000001</v>
      </c>
      <c r="G101" s="126"/>
    </row>
    <row r="102" spans="1:9" x14ac:dyDescent="0.25">
      <c r="A102" t="s">
        <v>230</v>
      </c>
      <c r="B102" t="s">
        <v>779</v>
      </c>
      <c r="C102" t="s">
        <v>1100</v>
      </c>
      <c r="D102">
        <v>97176</v>
      </c>
      <c r="E102" s="120">
        <v>46388</v>
      </c>
      <c r="F102" s="121">
        <v>0.13619999999999999</v>
      </c>
      <c r="G102" s="126"/>
    </row>
    <row r="103" spans="1:9" ht="15.75" thickBot="1" x14ac:dyDescent="0.3">
      <c r="A103" s="63" t="s">
        <v>230</v>
      </c>
      <c r="B103" s="63" t="s">
        <v>780</v>
      </c>
      <c r="C103" s="63" t="s">
        <v>560</v>
      </c>
      <c r="D103" s="63">
        <v>69842</v>
      </c>
      <c r="E103" s="123">
        <v>46388</v>
      </c>
      <c r="F103" s="124">
        <v>0.21160000000000001</v>
      </c>
      <c r="G103" s="137"/>
      <c r="H103" s="63"/>
      <c r="I103" s="63"/>
    </row>
    <row r="104" spans="1:9" x14ac:dyDescent="0.25">
      <c r="A104" t="s">
        <v>259</v>
      </c>
      <c r="B104" t="s">
        <v>781</v>
      </c>
      <c r="C104" t="s">
        <v>1101</v>
      </c>
      <c r="D104">
        <v>42690</v>
      </c>
      <c r="E104" s="120">
        <v>46388</v>
      </c>
      <c r="F104" s="121">
        <v>0.15459999999999999</v>
      </c>
      <c r="G104" s="129">
        <v>0.1232</v>
      </c>
    </row>
    <row r="105" spans="1:9" x14ac:dyDescent="0.25">
      <c r="A105" t="s">
        <v>259</v>
      </c>
      <c r="B105" t="s">
        <v>1102</v>
      </c>
      <c r="C105" t="s">
        <v>1103</v>
      </c>
      <c r="D105">
        <v>82569</v>
      </c>
      <c r="E105" s="120">
        <v>46388</v>
      </c>
      <c r="F105" s="121">
        <v>0.1138</v>
      </c>
      <c r="G105" s="126"/>
    </row>
    <row r="106" spans="1:9" x14ac:dyDescent="0.25">
      <c r="A106" t="s">
        <v>259</v>
      </c>
      <c r="B106" t="s">
        <v>1104</v>
      </c>
      <c r="C106" t="s">
        <v>1105</v>
      </c>
      <c r="D106">
        <v>88806</v>
      </c>
      <c r="E106" s="120">
        <v>46388</v>
      </c>
      <c r="F106" s="121">
        <v>0.25700000000000001</v>
      </c>
      <c r="G106" s="126"/>
    </row>
    <row r="107" spans="1:9" x14ac:dyDescent="0.25">
      <c r="A107" t="s">
        <v>259</v>
      </c>
      <c r="B107" t="s">
        <v>784</v>
      </c>
      <c r="C107" t="s">
        <v>1106</v>
      </c>
      <c r="D107">
        <v>36046</v>
      </c>
      <c r="E107" s="120">
        <v>46388</v>
      </c>
      <c r="F107" s="121">
        <v>5.8999999999999997E-2</v>
      </c>
      <c r="G107" s="126"/>
    </row>
    <row r="108" spans="1:9" x14ac:dyDescent="0.25">
      <c r="A108" t="s">
        <v>259</v>
      </c>
      <c r="B108" t="s">
        <v>785</v>
      </c>
      <c r="C108" t="s">
        <v>1107</v>
      </c>
      <c r="D108">
        <v>34484</v>
      </c>
      <c r="E108" s="120">
        <v>46388</v>
      </c>
      <c r="F108" s="121">
        <v>0.12559999999999999</v>
      </c>
      <c r="G108" s="126"/>
    </row>
    <row r="109" spans="1:9" x14ac:dyDescent="0.25">
      <c r="A109" t="s">
        <v>259</v>
      </c>
      <c r="B109" t="s">
        <v>786</v>
      </c>
      <c r="C109" t="s">
        <v>1108</v>
      </c>
      <c r="D109">
        <v>41304</v>
      </c>
      <c r="E109" s="120">
        <v>46388</v>
      </c>
      <c r="F109" s="121">
        <v>0.11849999999999999</v>
      </c>
      <c r="G109" s="126"/>
    </row>
    <row r="110" spans="1:9" x14ac:dyDescent="0.25">
      <c r="A110" t="s">
        <v>259</v>
      </c>
      <c r="B110" t="s">
        <v>787</v>
      </c>
      <c r="C110" t="s">
        <v>1109</v>
      </c>
      <c r="D110">
        <v>59763</v>
      </c>
      <c r="E110" s="120">
        <v>46388</v>
      </c>
      <c r="F110" s="121">
        <v>7.3300000000000004E-2</v>
      </c>
      <c r="G110" s="126"/>
    </row>
    <row r="111" spans="1:9" ht="15.75" thickBot="1" x14ac:dyDescent="0.3">
      <c r="A111" s="63" t="s">
        <v>259</v>
      </c>
      <c r="B111" s="63" t="s">
        <v>780</v>
      </c>
      <c r="C111" s="63" t="s">
        <v>560</v>
      </c>
      <c r="D111" s="63">
        <v>31779</v>
      </c>
      <c r="E111" s="123">
        <v>46388</v>
      </c>
      <c r="F111" s="124">
        <v>8.3599999999999994E-2</v>
      </c>
      <c r="G111" s="137"/>
      <c r="H111" s="63"/>
      <c r="I111" s="63"/>
    </row>
    <row r="112" spans="1:9" x14ac:dyDescent="0.25">
      <c r="A112" t="s">
        <v>249</v>
      </c>
      <c r="B112" t="s">
        <v>793</v>
      </c>
      <c r="C112" t="s">
        <v>1064</v>
      </c>
      <c r="D112">
        <v>28137</v>
      </c>
      <c r="E112" s="120">
        <v>46388</v>
      </c>
      <c r="F112" s="121">
        <v>0.1444</v>
      </c>
      <c r="G112" s="129">
        <v>0.13819999999999999</v>
      </c>
    </row>
    <row r="113" spans="1:9" x14ac:dyDescent="0.25">
      <c r="A113" t="s">
        <v>249</v>
      </c>
      <c r="B113" t="s">
        <v>795</v>
      </c>
      <c r="C113" t="s">
        <v>1110</v>
      </c>
      <c r="D113">
        <v>45532</v>
      </c>
      <c r="E113" s="120">
        <v>46388</v>
      </c>
      <c r="F113" s="121">
        <v>0.14599999999999999</v>
      </c>
      <c r="G113" s="126"/>
    </row>
    <row r="114" spans="1:9" x14ac:dyDescent="0.25">
      <c r="A114" t="s">
        <v>249</v>
      </c>
      <c r="B114" t="s">
        <v>794</v>
      </c>
      <c r="C114" t="s">
        <v>1065</v>
      </c>
      <c r="D114">
        <v>94084</v>
      </c>
      <c r="E114" s="120">
        <v>46388</v>
      </c>
      <c r="F114" s="121">
        <v>0.14610000000000001</v>
      </c>
      <c r="G114" s="126"/>
    </row>
    <row r="115" spans="1:9" x14ac:dyDescent="0.25">
      <c r="A115" t="s">
        <v>249</v>
      </c>
      <c r="B115" t="s">
        <v>797</v>
      </c>
      <c r="C115" t="s">
        <v>930</v>
      </c>
      <c r="D115">
        <v>72375</v>
      </c>
      <c r="E115" s="120">
        <v>46388</v>
      </c>
      <c r="F115" s="121">
        <v>0.1431</v>
      </c>
      <c r="G115" s="126"/>
    </row>
    <row r="116" spans="1:9" x14ac:dyDescent="0.25">
      <c r="A116" t="s">
        <v>249</v>
      </c>
      <c r="B116" t="s">
        <v>798</v>
      </c>
      <c r="C116" t="s">
        <v>1111</v>
      </c>
      <c r="D116">
        <v>72545</v>
      </c>
      <c r="E116" s="120">
        <v>46388</v>
      </c>
      <c r="F116" s="121">
        <v>0.12889999999999999</v>
      </c>
      <c r="G116" s="126"/>
    </row>
    <row r="117" spans="1:9" ht="15.75" thickBot="1" x14ac:dyDescent="0.3">
      <c r="A117" s="63" t="s">
        <v>249</v>
      </c>
      <c r="B117" s="63" t="s">
        <v>796</v>
      </c>
      <c r="C117" s="63" t="s">
        <v>929</v>
      </c>
      <c r="D117" s="63">
        <v>90296</v>
      </c>
      <c r="E117" s="123">
        <v>46388</v>
      </c>
      <c r="F117" s="124">
        <v>0.12039999999999999</v>
      </c>
      <c r="G117" s="137"/>
      <c r="H117" s="63"/>
      <c r="I117" s="63"/>
    </row>
    <row r="118" spans="1:9" x14ac:dyDescent="0.25">
      <c r="A118" t="s">
        <v>238</v>
      </c>
      <c r="B118" t="s">
        <v>788</v>
      </c>
      <c r="C118" t="s">
        <v>1112</v>
      </c>
      <c r="D118">
        <v>48396</v>
      </c>
      <c r="E118" s="120">
        <v>46388</v>
      </c>
      <c r="F118" s="121">
        <v>0.1681</v>
      </c>
      <c r="G118" s="129">
        <v>0.12509999999999999</v>
      </c>
    </row>
    <row r="119" spans="1:9" x14ac:dyDescent="0.25">
      <c r="A119" t="s">
        <v>238</v>
      </c>
      <c r="B119" t="s">
        <v>789</v>
      </c>
      <c r="C119" t="s">
        <v>1106</v>
      </c>
      <c r="D119">
        <v>96667</v>
      </c>
      <c r="E119" s="120">
        <v>46388</v>
      </c>
      <c r="F119" s="121">
        <v>6.1899999999999997E-2</v>
      </c>
      <c r="G119" s="126"/>
    </row>
    <row r="120" spans="1:9" x14ac:dyDescent="0.25">
      <c r="A120" t="s">
        <v>238</v>
      </c>
      <c r="B120" t="s">
        <v>790</v>
      </c>
      <c r="C120" t="s">
        <v>1113</v>
      </c>
      <c r="D120">
        <v>11593</v>
      </c>
      <c r="E120" s="120">
        <v>46388</v>
      </c>
      <c r="F120" s="121">
        <v>7.5300000000000006E-2</v>
      </c>
      <c r="G120" s="126"/>
    </row>
    <row r="121" spans="1:9" ht="15.75" thickBot="1" x14ac:dyDescent="0.3">
      <c r="A121" s="63" t="s">
        <v>238</v>
      </c>
      <c r="B121" s="63" t="s">
        <v>791</v>
      </c>
      <c r="C121" s="63" t="s">
        <v>791</v>
      </c>
      <c r="D121" s="63">
        <v>33653</v>
      </c>
      <c r="E121" s="123">
        <v>46388</v>
      </c>
      <c r="F121" s="124">
        <v>0.1951</v>
      </c>
      <c r="G121" s="137"/>
      <c r="H121" s="63"/>
      <c r="I121" s="63"/>
    </row>
    <row r="122" spans="1:9" x14ac:dyDescent="0.25">
      <c r="A122" t="s">
        <v>274</v>
      </c>
      <c r="B122" t="s">
        <v>799</v>
      </c>
      <c r="C122" t="s">
        <v>799</v>
      </c>
      <c r="D122">
        <v>67577</v>
      </c>
      <c r="E122" s="120">
        <v>46388</v>
      </c>
      <c r="F122" s="121">
        <v>0.14050000000000001</v>
      </c>
      <c r="G122" s="129">
        <v>0.1636</v>
      </c>
    </row>
    <row r="123" spans="1:9" x14ac:dyDescent="0.25">
      <c r="A123" t="s">
        <v>274</v>
      </c>
      <c r="B123" t="s">
        <v>801</v>
      </c>
      <c r="C123" t="s">
        <v>1114</v>
      </c>
      <c r="D123">
        <v>15560</v>
      </c>
      <c r="E123" s="120">
        <v>46388</v>
      </c>
      <c r="F123" s="121">
        <v>0.1293</v>
      </c>
      <c r="G123" s="126"/>
    </row>
    <row r="124" spans="1:9" x14ac:dyDescent="0.25">
      <c r="A124" t="s">
        <v>274</v>
      </c>
      <c r="B124" t="s">
        <v>800</v>
      </c>
      <c r="C124" t="s">
        <v>800</v>
      </c>
      <c r="D124">
        <v>98185</v>
      </c>
      <c r="E124" s="120">
        <v>46388</v>
      </c>
      <c r="F124" s="121">
        <v>0.1245</v>
      </c>
      <c r="G124" s="126"/>
    </row>
    <row r="125" spans="1:9" x14ac:dyDescent="0.25">
      <c r="A125" t="s">
        <v>274</v>
      </c>
      <c r="B125" t="s">
        <v>802</v>
      </c>
      <c r="C125" t="s">
        <v>802</v>
      </c>
      <c r="D125">
        <v>37651</v>
      </c>
      <c r="E125" s="120">
        <v>46388</v>
      </c>
      <c r="F125" s="121">
        <v>0.126</v>
      </c>
      <c r="G125" s="126"/>
    </row>
    <row r="126" spans="1:9" x14ac:dyDescent="0.25">
      <c r="A126" t="s">
        <v>274</v>
      </c>
      <c r="B126" t="s">
        <v>803</v>
      </c>
      <c r="C126" t="s">
        <v>803</v>
      </c>
      <c r="D126">
        <v>74917</v>
      </c>
      <c r="E126" s="120">
        <v>46388</v>
      </c>
      <c r="F126" s="121">
        <v>0.16250000000000001</v>
      </c>
      <c r="G126" s="126"/>
    </row>
    <row r="127" spans="1:9" x14ac:dyDescent="0.25">
      <c r="A127" t="s">
        <v>274</v>
      </c>
      <c r="B127" t="s">
        <v>804</v>
      </c>
      <c r="C127" t="s">
        <v>1115</v>
      </c>
      <c r="D127">
        <v>58594</v>
      </c>
      <c r="E127" s="120">
        <v>46388</v>
      </c>
      <c r="F127" s="121">
        <v>0.24399999999999999</v>
      </c>
      <c r="G127" s="126"/>
    </row>
    <row r="128" spans="1:9" x14ac:dyDescent="0.25">
      <c r="A128" t="s">
        <v>274</v>
      </c>
      <c r="B128" t="s">
        <v>805</v>
      </c>
      <c r="C128" t="s">
        <v>1116</v>
      </c>
      <c r="D128">
        <v>40047</v>
      </c>
      <c r="E128" s="120">
        <v>46388</v>
      </c>
      <c r="F128" s="121">
        <v>0.224</v>
      </c>
      <c r="G128" s="126"/>
    </row>
    <row r="129" spans="1:9" x14ac:dyDescent="0.25">
      <c r="A129" t="s">
        <v>274</v>
      </c>
      <c r="B129" t="s">
        <v>687</v>
      </c>
      <c r="C129" t="s">
        <v>687</v>
      </c>
      <c r="D129">
        <v>77739</v>
      </c>
      <c r="E129" s="120">
        <v>46388</v>
      </c>
      <c r="F129" s="121">
        <v>0.1192</v>
      </c>
      <c r="G129" s="126"/>
    </row>
    <row r="130" spans="1:9" x14ac:dyDescent="0.25">
      <c r="A130" t="s">
        <v>274</v>
      </c>
      <c r="B130" t="s">
        <v>806</v>
      </c>
      <c r="C130" t="s">
        <v>806</v>
      </c>
      <c r="D130">
        <v>29698</v>
      </c>
      <c r="E130" s="120">
        <v>46388</v>
      </c>
      <c r="F130" s="121">
        <v>0.1108</v>
      </c>
      <c r="G130" s="126"/>
    </row>
    <row r="131" spans="1:9" ht="15.75" thickBot="1" x14ac:dyDescent="0.3">
      <c r="A131" s="63" t="s">
        <v>274</v>
      </c>
      <c r="B131" s="63" t="s">
        <v>807</v>
      </c>
      <c r="C131" s="63" t="s">
        <v>1117</v>
      </c>
      <c r="D131" s="63">
        <v>71667</v>
      </c>
      <c r="E131" s="123">
        <v>46388</v>
      </c>
      <c r="F131" s="124">
        <v>0.255</v>
      </c>
      <c r="G131" s="137"/>
      <c r="H131" s="63"/>
      <c r="I131" s="63"/>
    </row>
    <row r="132" spans="1:9" x14ac:dyDescent="0.25">
      <c r="A132" t="s">
        <v>296</v>
      </c>
      <c r="B132" t="s">
        <v>809</v>
      </c>
      <c r="C132" t="s">
        <v>1118</v>
      </c>
      <c r="D132">
        <v>57129</v>
      </c>
      <c r="E132" s="120">
        <v>46388</v>
      </c>
      <c r="F132" s="121">
        <v>0.11070000000000001</v>
      </c>
      <c r="G132" s="129">
        <v>0.1173</v>
      </c>
    </row>
    <row r="133" spans="1:9" x14ac:dyDescent="0.25">
      <c r="A133" t="s">
        <v>296</v>
      </c>
      <c r="B133" t="s">
        <v>811</v>
      </c>
      <c r="C133" t="s">
        <v>811</v>
      </c>
      <c r="D133">
        <v>85654</v>
      </c>
      <c r="E133" s="120">
        <v>46388</v>
      </c>
      <c r="F133" s="121">
        <v>0.1226</v>
      </c>
      <c r="G133" s="126"/>
    </row>
    <row r="134" spans="1:9" x14ac:dyDescent="0.25">
      <c r="A134" t="s">
        <v>296</v>
      </c>
      <c r="B134" t="s">
        <v>810</v>
      </c>
      <c r="C134" t="s">
        <v>810</v>
      </c>
      <c r="D134">
        <v>79888</v>
      </c>
      <c r="E134" s="120">
        <v>46388</v>
      </c>
      <c r="F134" s="121">
        <v>0.12379999999999999</v>
      </c>
      <c r="G134" s="126"/>
    </row>
    <row r="135" spans="1:9" x14ac:dyDescent="0.25">
      <c r="A135" t="s">
        <v>296</v>
      </c>
      <c r="B135" t="s">
        <v>812</v>
      </c>
      <c r="C135" t="s">
        <v>812</v>
      </c>
      <c r="D135">
        <v>31616</v>
      </c>
      <c r="E135" s="120">
        <v>46388</v>
      </c>
      <c r="F135" s="121">
        <v>0.1295</v>
      </c>
      <c r="G135" s="126"/>
    </row>
    <row r="136" spans="1:9" ht="15.75" thickBot="1" x14ac:dyDescent="0.3">
      <c r="A136" s="63" t="s">
        <v>296</v>
      </c>
      <c r="B136" s="63" t="s">
        <v>813</v>
      </c>
      <c r="C136" s="63" t="s">
        <v>1119</v>
      </c>
      <c r="D136" s="63">
        <v>70373</v>
      </c>
      <c r="E136" s="123">
        <v>46388</v>
      </c>
      <c r="F136" s="124">
        <v>9.9900000000000003E-2</v>
      </c>
      <c r="G136" s="137"/>
      <c r="H136" s="63"/>
      <c r="I136" s="63"/>
    </row>
    <row r="137" spans="1:9" x14ac:dyDescent="0.25">
      <c r="A137" t="s">
        <v>319</v>
      </c>
      <c r="B137" t="s">
        <v>768</v>
      </c>
      <c r="C137" t="s">
        <v>1049</v>
      </c>
      <c r="D137">
        <v>14817</v>
      </c>
      <c r="E137" s="120">
        <v>46388</v>
      </c>
      <c r="F137" s="121">
        <v>0.1132</v>
      </c>
      <c r="G137" s="129">
        <v>0.14649999999999999</v>
      </c>
    </row>
    <row r="138" spans="1:9" x14ac:dyDescent="0.25">
      <c r="A138" t="s">
        <v>319</v>
      </c>
      <c r="B138" t="s">
        <v>769</v>
      </c>
      <c r="C138" t="s">
        <v>1091</v>
      </c>
      <c r="D138">
        <v>34762</v>
      </c>
      <c r="E138" s="120">
        <v>46388</v>
      </c>
      <c r="F138" s="121">
        <v>0.1028</v>
      </c>
      <c r="G138" s="126"/>
    </row>
    <row r="139" spans="1:9" x14ac:dyDescent="0.25">
      <c r="A139" t="s">
        <v>319</v>
      </c>
      <c r="B139" t="s">
        <v>686</v>
      </c>
      <c r="C139" t="s">
        <v>686</v>
      </c>
      <c r="D139">
        <v>99723</v>
      </c>
      <c r="E139" s="120">
        <v>46388</v>
      </c>
      <c r="F139" s="121">
        <v>0.1028</v>
      </c>
      <c r="G139" s="126"/>
    </row>
    <row r="140" spans="1:9" x14ac:dyDescent="0.25">
      <c r="A140" t="s">
        <v>319</v>
      </c>
      <c r="B140" t="s">
        <v>818</v>
      </c>
      <c r="C140" t="s">
        <v>1120</v>
      </c>
      <c r="D140">
        <v>32753</v>
      </c>
      <c r="E140" s="120">
        <v>46388</v>
      </c>
      <c r="F140" s="121">
        <v>0.12670000000000001</v>
      </c>
      <c r="G140" s="126"/>
    </row>
    <row r="141" spans="1:9" x14ac:dyDescent="0.25">
      <c r="A141" t="s">
        <v>319</v>
      </c>
      <c r="B141" t="s">
        <v>812</v>
      </c>
      <c r="C141" t="s">
        <v>812</v>
      </c>
      <c r="D141">
        <v>53461</v>
      </c>
      <c r="E141" s="120">
        <v>46388</v>
      </c>
      <c r="F141" s="121">
        <v>0.25609999999999999</v>
      </c>
      <c r="G141" s="126"/>
    </row>
    <row r="142" spans="1:9" x14ac:dyDescent="0.25">
      <c r="A142" t="s">
        <v>319</v>
      </c>
      <c r="B142" t="s">
        <v>687</v>
      </c>
      <c r="C142" t="s">
        <v>687</v>
      </c>
      <c r="D142">
        <v>69512</v>
      </c>
      <c r="E142" s="120">
        <v>46388</v>
      </c>
      <c r="F142" s="121">
        <v>0.15909999999999999</v>
      </c>
      <c r="G142" s="126"/>
    </row>
    <row r="143" spans="1:9" ht="15.75" thickBot="1" x14ac:dyDescent="0.3">
      <c r="A143" s="63" t="s">
        <v>319</v>
      </c>
      <c r="B143" s="63" t="s">
        <v>780</v>
      </c>
      <c r="C143" s="63" t="s">
        <v>560</v>
      </c>
      <c r="D143" s="63">
        <v>95426</v>
      </c>
      <c r="E143" s="123">
        <v>46388</v>
      </c>
      <c r="F143" s="124">
        <v>0.1651</v>
      </c>
      <c r="G143" s="137"/>
      <c r="H143" s="63"/>
      <c r="I143" s="63"/>
    </row>
    <row r="144" spans="1:9" x14ac:dyDescent="0.25">
      <c r="A144" t="s">
        <v>308</v>
      </c>
      <c r="B144" t="s">
        <v>814</v>
      </c>
      <c r="C144" t="s">
        <v>1121</v>
      </c>
      <c r="D144">
        <v>90714</v>
      </c>
      <c r="E144" s="120">
        <v>46388</v>
      </c>
      <c r="F144" s="121">
        <v>0.18640000000000001</v>
      </c>
      <c r="G144" s="129">
        <v>0.2145</v>
      </c>
    </row>
    <row r="145" spans="1:9" x14ac:dyDescent="0.25">
      <c r="A145" t="s">
        <v>308</v>
      </c>
      <c r="B145" t="s">
        <v>686</v>
      </c>
      <c r="C145" t="s">
        <v>1049</v>
      </c>
      <c r="D145">
        <v>37710</v>
      </c>
      <c r="E145" s="120">
        <v>46388</v>
      </c>
      <c r="F145" s="121">
        <v>0.20380000000000001</v>
      </c>
      <c r="G145" s="126"/>
    </row>
    <row r="146" spans="1:9" x14ac:dyDescent="0.25">
      <c r="A146" t="s">
        <v>308</v>
      </c>
      <c r="B146" t="s">
        <v>816</v>
      </c>
      <c r="C146" t="s">
        <v>758</v>
      </c>
      <c r="D146">
        <v>20635</v>
      </c>
      <c r="E146" s="120">
        <v>46388</v>
      </c>
      <c r="F146" s="121">
        <v>0.32569999999999999</v>
      </c>
      <c r="G146" s="126"/>
    </row>
    <row r="147" spans="1:9" ht="15.75" thickBot="1" x14ac:dyDescent="0.3">
      <c r="A147" s="63" t="s">
        <v>308</v>
      </c>
      <c r="B147" s="63" t="s">
        <v>817</v>
      </c>
      <c r="C147" s="63" t="s">
        <v>1122</v>
      </c>
      <c r="D147" s="63">
        <v>97560</v>
      </c>
      <c r="E147" s="123">
        <v>46388</v>
      </c>
      <c r="F147" s="124">
        <v>0.25950000000000001</v>
      </c>
      <c r="G147" s="137"/>
      <c r="H147" s="63"/>
      <c r="I147" s="63"/>
    </row>
    <row r="148" spans="1:9" x14ac:dyDescent="0.25">
      <c r="A148" t="s">
        <v>333</v>
      </c>
      <c r="B148" t="s">
        <v>819</v>
      </c>
      <c r="C148" t="s">
        <v>1123</v>
      </c>
      <c r="D148">
        <v>30751</v>
      </c>
      <c r="E148" s="120">
        <v>46388</v>
      </c>
      <c r="F148" s="121">
        <v>0.21579999999999999</v>
      </c>
      <c r="G148" s="129">
        <v>0.24629999999999999</v>
      </c>
    </row>
    <row r="149" spans="1:9" ht="15.75" thickBot="1" x14ac:dyDescent="0.3">
      <c r="A149" s="63" t="s">
        <v>333</v>
      </c>
      <c r="B149" s="63" t="s">
        <v>751</v>
      </c>
      <c r="C149" s="63" t="s">
        <v>1087</v>
      </c>
      <c r="D149" s="63">
        <v>32225</v>
      </c>
      <c r="E149" s="123">
        <v>46388</v>
      </c>
      <c r="F149" s="124">
        <v>0.2767</v>
      </c>
      <c r="G149" s="125"/>
      <c r="H149" s="63"/>
      <c r="I149" s="63"/>
    </row>
    <row r="150" spans="1:9" x14ac:dyDescent="0.25">
      <c r="A150" t="s">
        <v>423</v>
      </c>
      <c r="B150" t="s">
        <v>857</v>
      </c>
      <c r="C150" t="s">
        <v>1124</v>
      </c>
      <c r="D150">
        <v>77264</v>
      </c>
      <c r="E150" s="120">
        <v>46388</v>
      </c>
      <c r="F150" s="121">
        <v>8.5000000000000006E-2</v>
      </c>
      <c r="G150" s="129">
        <v>0.15870000000000001</v>
      </c>
    </row>
    <row r="151" spans="1:9" x14ac:dyDescent="0.25">
      <c r="A151" t="s">
        <v>423</v>
      </c>
      <c r="B151" t="s">
        <v>858</v>
      </c>
      <c r="C151" t="s">
        <v>1125</v>
      </c>
      <c r="D151">
        <v>17414</v>
      </c>
      <c r="E151" s="120">
        <v>46388</v>
      </c>
      <c r="F151" s="121">
        <v>9.2600000000000002E-2</v>
      </c>
      <c r="G151" s="126"/>
    </row>
    <row r="152" spans="1:9" x14ac:dyDescent="0.25">
      <c r="A152" t="s">
        <v>423</v>
      </c>
      <c r="B152" t="s">
        <v>859</v>
      </c>
      <c r="C152" t="s">
        <v>1126</v>
      </c>
      <c r="D152">
        <v>11512</v>
      </c>
      <c r="E152" s="120">
        <v>46388</v>
      </c>
      <c r="F152" s="121">
        <v>0.1769</v>
      </c>
      <c r="G152" s="126"/>
    </row>
    <row r="153" spans="1:9" x14ac:dyDescent="0.25">
      <c r="A153" t="s">
        <v>423</v>
      </c>
      <c r="B153" t="s">
        <v>860</v>
      </c>
      <c r="C153" t="s">
        <v>1127</v>
      </c>
      <c r="D153">
        <v>69803</v>
      </c>
      <c r="E153" s="120">
        <v>46388</v>
      </c>
      <c r="F153" s="121">
        <v>0.1648</v>
      </c>
      <c r="G153" s="126"/>
    </row>
    <row r="154" spans="1:9" ht="15.75" thickBot="1" x14ac:dyDescent="0.3">
      <c r="A154" s="63" t="s">
        <v>423</v>
      </c>
      <c r="B154" s="63" t="s">
        <v>861</v>
      </c>
      <c r="C154" s="63" t="s">
        <v>1128</v>
      </c>
      <c r="D154" s="63">
        <v>54332</v>
      </c>
      <c r="E154" s="123">
        <v>46388</v>
      </c>
      <c r="F154" s="124">
        <v>0.27410000000000001</v>
      </c>
      <c r="G154" s="137"/>
      <c r="H154" s="63"/>
      <c r="I154" s="63"/>
    </row>
    <row r="155" spans="1:9" x14ac:dyDescent="0.25">
      <c r="A155" t="s">
        <v>438</v>
      </c>
      <c r="B155" t="s">
        <v>862</v>
      </c>
      <c r="C155" t="s">
        <v>1129</v>
      </c>
      <c r="D155">
        <v>37160</v>
      </c>
      <c r="E155" s="120">
        <v>46388</v>
      </c>
      <c r="F155" s="121">
        <v>0.21379999999999999</v>
      </c>
      <c r="G155" s="129">
        <v>0.14180000000000001</v>
      </c>
    </row>
    <row r="156" spans="1:9" x14ac:dyDescent="0.25">
      <c r="A156" t="s">
        <v>438</v>
      </c>
      <c r="B156" t="s">
        <v>863</v>
      </c>
      <c r="C156" t="s">
        <v>863</v>
      </c>
      <c r="D156">
        <v>73751</v>
      </c>
      <c r="E156" s="120">
        <v>46388</v>
      </c>
      <c r="F156" s="121">
        <v>0.13639999999999999</v>
      </c>
      <c r="G156" s="126"/>
    </row>
    <row r="157" spans="1:9" ht="15.75" thickBot="1" x14ac:dyDescent="0.3">
      <c r="A157" s="63" t="s">
        <v>438</v>
      </c>
      <c r="B157" s="63" t="s">
        <v>864</v>
      </c>
      <c r="C157" s="63" t="s">
        <v>864</v>
      </c>
      <c r="D157" s="63">
        <v>89364</v>
      </c>
      <c r="E157" s="123">
        <v>46388</v>
      </c>
      <c r="F157" s="124">
        <v>7.5200000000000003E-2</v>
      </c>
      <c r="G157" s="137"/>
      <c r="H157" s="63"/>
      <c r="I157" s="63"/>
    </row>
    <row r="158" spans="1:9" x14ac:dyDescent="0.25">
      <c r="A158" t="s">
        <v>339</v>
      </c>
      <c r="B158" t="s">
        <v>768</v>
      </c>
      <c r="C158" t="s">
        <v>1049</v>
      </c>
      <c r="D158">
        <v>58878</v>
      </c>
      <c r="E158" s="120">
        <v>46388</v>
      </c>
      <c r="F158" s="121">
        <v>0.1331</v>
      </c>
      <c r="G158" s="129">
        <v>0.14149999999999999</v>
      </c>
    </row>
    <row r="159" spans="1:9" x14ac:dyDescent="0.25">
      <c r="A159" t="s">
        <v>339</v>
      </c>
      <c r="B159" t="s">
        <v>820</v>
      </c>
      <c r="C159" t="s">
        <v>1130</v>
      </c>
      <c r="D159">
        <v>29678</v>
      </c>
      <c r="E159" s="120">
        <v>46388</v>
      </c>
      <c r="F159" s="121">
        <v>0.1353</v>
      </c>
      <c r="G159" s="126"/>
    </row>
    <row r="160" spans="1:9" x14ac:dyDescent="0.25">
      <c r="A160" t="s">
        <v>339</v>
      </c>
      <c r="B160" t="s">
        <v>686</v>
      </c>
      <c r="C160" t="s">
        <v>686</v>
      </c>
      <c r="D160">
        <v>13484</v>
      </c>
      <c r="E160" s="120">
        <v>46388</v>
      </c>
      <c r="F160" s="121">
        <v>0.1235</v>
      </c>
      <c r="G160" s="126"/>
    </row>
    <row r="161" spans="1:9" x14ac:dyDescent="0.25">
      <c r="A161" t="s">
        <v>339</v>
      </c>
      <c r="B161" t="s">
        <v>812</v>
      </c>
      <c r="C161" t="s">
        <v>812</v>
      </c>
      <c r="D161">
        <v>20305</v>
      </c>
      <c r="E161" s="120">
        <v>46388</v>
      </c>
      <c r="F161" s="121">
        <v>0.19689999999999999</v>
      </c>
      <c r="G161" s="126"/>
    </row>
    <row r="162" spans="1:9" x14ac:dyDescent="0.25">
      <c r="A162" t="s">
        <v>339</v>
      </c>
      <c r="B162" t="s">
        <v>687</v>
      </c>
      <c r="C162" t="s">
        <v>687</v>
      </c>
      <c r="D162">
        <v>57424</v>
      </c>
      <c r="E162" s="120">
        <v>46388</v>
      </c>
      <c r="F162" s="121">
        <v>8.5800000000000001E-2</v>
      </c>
      <c r="G162" s="126"/>
    </row>
    <row r="163" spans="1:9" ht="15.75" thickBot="1" x14ac:dyDescent="0.3">
      <c r="A163" s="63" t="s">
        <v>339</v>
      </c>
      <c r="B163" s="63" t="s">
        <v>780</v>
      </c>
      <c r="C163" s="63" t="s">
        <v>560</v>
      </c>
      <c r="D163" s="63">
        <v>73102</v>
      </c>
      <c r="E163" s="123">
        <v>46388</v>
      </c>
      <c r="F163" s="124">
        <v>0.1744</v>
      </c>
      <c r="G163" s="137"/>
      <c r="H163" s="63"/>
      <c r="I163" s="63"/>
    </row>
    <row r="164" spans="1:9" x14ac:dyDescent="0.25">
      <c r="A164" t="s">
        <v>365</v>
      </c>
      <c r="B164" t="s">
        <v>832</v>
      </c>
      <c r="C164" t="s">
        <v>1131</v>
      </c>
      <c r="D164">
        <v>57601</v>
      </c>
      <c r="E164" s="120">
        <v>46388</v>
      </c>
      <c r="F164" s="121">
        <v>0.15140000000000001</v>
      </c>
      <c r="G164" s="129">
        <v>0.1638</v>
      </c>
    </row>
    <row r="165" spans="1:9" x14ac:dyDescent="0.25">
      <c r="A165" t="s">
        <v>365</v>
      </c>
      <c r="B165" t="s">
        <v>833</v>
      </c>
      <c r="C165" t="s">
        <v>1132</v>
      </c>
      <c r="D165">
        <v>13219</v>
      </c>
      <c r="E165" s="120">
        <v>46388</v>
      </c>
      <c r="F165" s="121">
        <v>0.2155</v>
      </c>
      <c r="G165" s="126"/>
    </row>
    <row r="166" spans="1:9" x14ac:dyDescent="0.25">
      <c r="A166" t="s">
        <v>365</v>
      </c>
      <c r="B166" t="s">
        <v>834</v>
      </c>
      <c r="C166" t="s">
        <v>834</v>
      </c>
      <c r="D166">
        <v>59025</v>
      </c>
      <c r="E166" s="120">
        <v>46388</v>
      </c>
      <c r="F166" s="121">
        <v>0.1069</v>
      </c>
      <c r="G166" s="126"/>
    </row>
    <row r="167" spans="1:9" ht="15.75" thickBot="1" x14ac:dyDescent="0.3">
      <c r="A167" s="63" t="s">
        <v>365</v>
      </c>
      <c r="B167" s="63" t="s">
        <v>835</v>
      </c>
      <c r="C167" s="63" t="s">
        <v>1133</v>
      </c>
      <c r="D167" s="63">
        <v>96751</v>
      </c>
      <c r="E167" s="123">
        <v>46388</v>
      </c>
      <c r="F167" s="124">
        <v>0.1812</v>
      </c>
      <c r="G167" s="137"/>
      <c r="H167" s="63"/>
      <c r="I167" s="63"/>
    </row>
    <row r="168" spans="1:9" x14ac:dyDescent="0.25">
      <c r="A168" t="s">
        <v>374</v>
      </c>
      <c r="B168" t="s">
        <v>836</v>
      </c>
      <c r="C168" t="s">
        <v>1134</v>
      </c>
      <c r="D168">
        <v>77606</v>
      </c>
      <c r="E168" s="120">
        <v>46388</v>
      </c>
      <c r="F168" s="121">
        <v>0.182</v>
      </c>
      <c r="G168" s="129">
        <v>0.22720000000000001</v>
      </c>
    </row>
    <row r="169" spans="1:9" x14ac:dyDescent="0.25">
      <c r="A169" t="s">
        <v>374</v>
      </c>
      <c r="B169" t="s">
        <v>837</v>
      </c>
      <c r="C169" t="s">
        <v>1135</v>
      </c>
      <c r="D169">
        <v>91762</v>
      </c>
      <c r="E169" s="120">
        <v>46388</v>
      </c>
      <c r="F169" s="121">
        <v>0.17</v>
      </c>
      <c r="G169" s="126"/>
    </row>
    <row r="170" spans="1:9" x14ac:dyDescent="0.25">
      <c r="A170" t="s">
        <v>374</v>
      </c>
      <c r="B170" t="s">
        <v>838</v>
      </c>
      <c r="C170" t="s">
        <v>1136</v>
      </c>
      <c r="D170">
        <v>91661</v>
      </c>
      <c r="E170" s="120">
        <v>46388</v>
      </c>
      <c r="F170" s="121">
        <v>0.15359999999999999</v>
      </c>
      <c r="G170" s="126"/>
    </row>
    <row r="171" spans="1:9" x14ac:dyDescent="0.25">
      <c r="A171" t="s">
        <v>374</v>
      </c>
      <c r="B171" t="s">
        <v>839</v>
      </c>
      <c r="C171" t="s">
        <v>1137</v>
      </c>
      <c r="D171">
        <v>23818</v>
      </c>
      <c r="E171" s="120">
        <v>46388</v>
      </c>
      <c r="F171" s="121">
        <v>0.29339999999999999</v>
      </c>
      <c r="G171" s="126"/>
    </row>
    <row r="172" spans="1:9" x14ac:dyDescent="0.25">
      <c r="A172" t="s">
        <v>374</v>
      </c>
      <c r="B172" t="s">
        <v>780</v>
      </c>
      <c r="C172" t="s">
        <v>1138</v>
      </c>
      <c r="D172">
        <v>37777</v>
      </c>
      <c r="E172" s="120">
        <v>46388</v>
      </c>
      <c r="F172" s="121">
        <v>0.35649999999999998</v>
      </c>
      <c r="G172" s="126"/>
    </row>
    <row r="173" spans="1:9" ht="15.75" thickBot="1" x14ac:dyDescent="0.3">
      <c r="A173" s="63" t="s">
        <v>374</v>
      </c>
      <c r="B173" s="63" t="s">
        <v>840</v>
      </c>
      <c r="C173" s="63" t="s">
        <v>1139</v>
      </c>
      <c r="D173" s="63">
        <v>17970</v>
      </c>
      <c r="E173" s="123">
        <v>46388</v>
      </c>
      <c r="F173" s="124">
        <v>0.20760000000000001</v>
      </c>
      <c r="G173" s="137"/>
      <c r="H173" s="63"/>
      <c r="I173" s="63"/>
    </row>
    <row r="174" spans="1:9" x14ac:dyDescent="0.25">
      <c r="A174" t="s">
        <v>386</v>
      </c>
      <c r="B174" t="s">
        <v>841</v>
      </c>
      <c r="C174" t="s">
        <v>1140</v>
      </c>
      <c r="D174">
        <v>75605</v>
      </c>
      <c r="E174" s="120">
        <v>46388</v>
      </c>
      <c r="F174" s="121">
        <v>0.29049999999999998</v>
      </c>
      <c r="G174" s="129">
        <v>0.24429999999999999</v>
      </c>
    </row>
    <row r="175" spans="1:9" x14ac:dyDescent="0.25">
      <c r="A175" t="s">
        <v>386</v>
      </c>
      <c r="B175" t="s">
        <v>842</v>
      </c>
      <c r="C175" t="s">
        <v>1141</v>
      </c>
      <c r="D175">
        <v>19722</v>
      </c>
      <c r="E175" s="120">
        <v>46388</v>
      </c>
      <c r="F175" s="121">
        <v>0.30399999999999999</v>
      </c>
      <c r="G175" s="126"/>
    </row>
    <row r="176" spans="1:9" x14ac:dyDescent="0.25">
      <c r="A176" t="s">
        <v>386</v>
      </c>
      <c r="B176" t="s">
        <v>843</v>
      </c>
      <c r="C176" t="s">
        <v>1142</v>
      </c>
      <c r="D176">
        <v>57173</v>
      </c>
      <c r="E176" s="120">
        <v>46388</v>
      </c>
      <c r="F176" s="121">
        <v>0.1457</v>
      </c>
      <c r="G176" s="126"/>
    </row>
    <row r="177" spans="1:9" ht="15.75" thickBot="1" x14ac:dyDescent="0.3">
      <c r="A177" s="63" t="s">
        <v>386</v>
      </c>
      <c r="B177" s="63" t="s">
        <v>844</v>
      </c>
      <c r="C177" s="63" t="s">
        <v>1143</v>
      </c>
      <c r="D177" s="63">
        <v>65428</v>
      </c>
      <c r="E177" s="123">
        <v>46388</v>
      </c>
      <c r="F177" s="124">
        <v>0.2369</v>
      </c>
      <c r="G177" s="137"/>
      <c r="H177" s="63"/>
      <c r="I177" s="63"/>
    </row>
    <row r="178" spans="1:9" x14ac:dyDescent="0.25">
      <c r="A178" t="s">
        <v>345</v>
      </c>
      <c r="B178" t="s">
        <v>821</v>
      </c>
      <c r="C178" t="s">
        <v>1144</v>
      </c>
      <c r="D178">
        <v>35107</v>
      </c>
      <c r="E178" s="120">
        <v>46388</v>
      </c>
      <c r="F178" s="121">
        <v>0.25700000000000001</v>
      </c>
      <c r="G178" s="129">
        <v>0.13830000000000001</v>
      </c>
    </row>
    <row r="179" spans="1:9" x14ac:dyDescent="0.25">
      <c r="A179" t="s">
        <v>345</v>
      </c>
      <c r="B179" t="s">
        <v>822</v>
      </c>
      <c r="C179" t="s">
        <v>1145</v>
      </c>
      <c r="D179">
        <v>11765</v>
      </c>
      <c r="E179" s="120">
        <v>46388</v>
      </c>
      <c r="F179" s="121">
        <v>9.11E-2</v>
      </c>
      <c r="G179" s="126"/>
    </row>
    <row r="180" spans="1:9" x14ac:dyDescent="0.25">
      <c r="A180" t="s">
        <v>345</v>
      </c>
      <c r="B180" t="s">
        <v>823</v>
      </c>
      <c r="C180" t="s">
        <v>1146</v>
      </c>
      <c r="D180">
        <v>95865</v>
      </c>
      <c r="E180" s="120">
        <v>46388</v>
      </c>
      <c r="F180" s="121">
        <v>0.21729999999999999</v>
      </c>
      <c r="G180" s="126"/>
    </row>
    <row r="181" spans="1:9" x14ac:dyDescent="0.25">
      <c r="A181" t="s">
        <v>345</v>
      </c>
      <c r="B181" t="s">
        <v>824</v>
      </c>
      <c r="C181" t="s">
        <v>824</v>
      </c>
      <c r="D181">
        <v>60156</v>
      </c>
      <c r="E181" s="120">
        <v>46388</v>
      </c>
      <c r="F181" s="121">
        <v>3.8300000000000001E-2</v>
      </c>
      <c r="G181" s="126"/>
    </row>
    <row r="182" spans="1:9" x14ac:dyDescent="0.25">
      <c r="A182" t="s">
        <v>345</v>
      </c>
      <c r="B182" t="s">
        <v>825</v>
      </c>
      <c r="C182" t="s">
        <v>1147</v>
      </c>
      <c r="D182">
        <v>41094</v>
      </c>
      <c r="E182" s="120">
        <v>46388</v>
      </c>
      <c r="F182" s="121">
        <v>3.1300000000000001E-2</v>
      </c>
      <c r="G182" s="126"/>
    </row>
    <row r="183" spans="1:9" x14ac:dyDescent="0.25">
      <c r="A183" t="s">
        <v>345</v>
      </c>
      <c r="B183" t="s">
        <v>826</v>
      </c>
      <c r="C183" t="s">
        <v>1148</v>
      </c>
      <c r="D183">
        <v>85266</v>
      </c>
      <c r="E183" s="120">
        <v>46388</v>
      </c>
      <c r="F183" s="121">
        <v>3.9100000000000003E-2</v>
      </c>
      <c r="G183" s="126"/>
    </row>
    <row r="184" spans="1:9" x14ac:dyDescent="0.25">
      <c r="A184" t="s">
        <v>345</v>
      </c>
      <c r="B184" t="s">
        <v>31</v>
      </c>
      <c r="C184" t="s">
        <v>1149</v>
      </c>
      <c r="D184">
        <v>43314</v>
      </c>
      <c r="E184" s="120">
        <v>46388</v>
      </c>
      <c r="F184" s="121">
        <v>0.26889999999999997</v>
      </c>
      <c r="G184" s="126"/>
    </row>
    <row r="185" spans="1:9" x14ac:dyDescent="0.25">
      <c r="A185" t="s">
        <v>345</v>
      </c>
      <c r="B185" t="s">
        <v>827</v>
      </c>
      <c r="C185" t="s">
        <v>1150</v>
      </c>
      <c r="D185">
        <v>79363</v>
      </c>
      <c r="E185" s="120">
        <v>46388</v>
      </c>
      <c r="F185" s="121">
        <v>0.21879999999999999</v>
      </c>
      <c r="G185" s="126"/>
    </row>
    <row r="186" spans="1:9" x14ac:dyDescent="0.25">
      <c r="A186" t="s">
        <v>345</v>
      </c>
      <c r="B186" t="s">
        <v>828</v>
      </c>
      <c r="C186" t="s">
        <v>1151</v>
      </c>
      <c r="D186">
        <v>33670</v>
      </c>
      <c r="E186" s="120">
        <v>46388</v>
      </c>
      <c r="F186" s="121">
        <v>-2.7900000000000001E-2</v>
      </c>
      <c r="G186" s="126"/>
    </row>
    <row r="187" spans="1:9" x14ac:dyDescent="0.25">
      <c r="A187" t="s">
        <v>345</v>
      </c>
      <c r="B187" t="s">
        <v>829</v>
      </c>
      <c r="C187" t="s">
        <v>1152</v>
      </c>
      <c r="D187">
        <v>84445</v>
      </c>
      <c r="E187" s="120">
        <v>46388</v>
      </c>
      <c r="F187" s="121">
        <v>0.1943</v>
      </c>
      <c r="G187" s="126"/>
    </row>
    <row r="188" spans="1:9" x14ac:dyDescent="0.25">
      <c r="A188" t="s">
        <v>345</v>
      </c>
      <c r="B188" t="s">
        <v>830</v>
      </c>
      <c r="C188" t="s">
        <v>1153</v>
      </c>
      <c r="D188">
        <v>83198</v>
      </c>
      <c r="E188" s="120">
        <v>46388</v>
      </c>
      <c r="F188" s="121">
        <v>0.12989999999999999</v>
      </c>
      <c r="G188" s="126"/>
    </row>
    <row r="189" spans="1:9" ht="15.75" thickBot="1" x14ac:dyDescent="0.3">
      <c r="A189" s="63" t="s">
        <v>345</v>
      </c>
      <c r="B189" s="63" t="s">
        <v>831</v>
      </c>
      <c r="C189" s="63" t="s">
        <v>1154</v>
      </c>
      <c r="D189" s="63">
        <v>45142</v>
      </c>
      <c r="E189" s="123">
        <v>46388</v>
      </c>
      <c r="F189" s="124">
        <v>0.2019</v>
      </c>
      <c r="G189" s="137"/>
      <c r="H189" s="63"/>
      <c r="I189" s="63"/>
    </row>
    <row r="190" spans="1:9" x14ac:dyDescent="0.25">
      <c r="A190" t="s">
        <v>845</v>
      </c>
      <c r="B190" t="s">
        <v>846</v>
      </c>
      <c r="C190" t="s">
        <v>1155</v>
      </c>
      <c r="D190">
        <v>41046</v>
      </c>
      <c r="E190" s="120">
        <v>46388</v>
      </c>
      <c r="F190" s="121">
        <v>0.113</v>
      </c>
      <c r="G190" s="129">
        <v>0.2056</v>
      </c>
    </row>
    <row r="191" spans="1:9" x14ac:dyDescent="0.25">
      <c r="A191" t="s">
        <v>845</v>
      </c>
      <c r="B191" t="s">
        <v>847</v>
      </c>
      <c r="C191" t="s">
        <v>847</v>
      </c>
      <c r="D191">
        <v>94788</v>
      </c>
      <c r="E191" s="120">
        <v>46388</v>
      </c>
      <c r="F191" s="121">
        <v>1.6899999999999998E-2</v>
      </c>
      <c r="G191" s="126"/>
    </row>
    <row r="192" spans="1:9" x14ac:dyDescent="0.25">
      <c r="A192" t="s">
        <v>845</v>
      </c>
      <c r="B192" t="s">
        <v>1156</v>
      </c>
      <c r="C192" t="s">
        <v>1157</v>
      </c>
      <c r="D192">
        <v>88582</v>
      </c>
      <c r="E192" s="120">
        <v>46388</v>
      </c>
      <c r="F192" s="121">
        <v>0.26569999999999999</v>
      </c>
      <c r="G192" s="126"/>
    </row>
    <row r="193" spans="1:9" x14ac:dyDescent="0.25">
      <c r="A193" t="s">
        <v>845</v>
      </c>
      <c r="B193" t="s">
        <v>402</v>
      </c>
      <c r="C193" t="s">
        <v>1158</v>
      </c>
      <c r="D193">
        <v>78124</v>
      </c>
      <c r="E193" s="120">
        <v>46388</v>
      </c>
      <c r="F193" s="121">
        <v>0.1721</v>
      </c>
      <c r="G193" s="126"/>
    </row>
    <row r="194" spans="1:9" x14ac:dyDescent="0.25">
      <c r="A194" t="s">
        <v>845</v>
      </c>
      <c r="B194" t="s">
        <v>849</v>
      </c>
      <c r="C194" t="s">
        <v>1159</v>
      </c>
      <c r="D194">
        <v>25303</v>
      </c>
      <c r="E194" s="120">
        <v>46388</v>
      </c>
      <c r="F194" s="121">
        <v>0.28410000000000002</v>
      </c>
      <c r="G194" s="126"/>
    </row>
    <row r="195" spans="1:9" x14ac:dyDescent="0.25">
      <c r="A195" t="s">
        <v>845</v>
      </c>
      <c r="B195" t="s">
        <v>850</v>
      </c>
      <c r="C195" t="s">
        <v>850</v>
      </c>
      <c r="D195">
        <v>91237</v>
      </c>
      <c r="E195" s="120">
        <v>46388</v>
      </c>
      <c r="F195" s="121">
        <v>0.1492</v>
      </c>
      <c r="G195" s="126"/>
    </row>
    <row r="196" spans="1:9" x14ac:dyDescent="0.25">
      <c r="A196" t="s">
        <v>845</v>
      </c>
      <c r="B196" t="s">
        <v>851</v>
      </c>
      <c r="C196" t="s">
        <v>1157</v>
      </c>
      <c r="D196">
        <v>88582</v>
      </c>
      <c r="E196" s="120">
        <v>46388</v>
      </c>
      <c r="F196" s="121">
        <v>0.2379</v>
      </c>
      <c r="G196" s="126"/>
    </row>
    <row r="197" spans="1:9" x14ac:dyDescent="0.25">
      <c r="A197" t="s">
        <v>845</v>
      </c>
      <c r="B197" t="s">
        <v>852</v>
      </c>
      <c r="C197" t="s">
        <v>1160</v>
      </c>
      <c r="D197">
        <v>18029</v>
      </c>
      <c r="E197" s="120">
        <v>46388</v>
      </c>
      <c r="F197" s="121">
        <v>0.14180000000000001</v>
      </c>
      <c r="G197" s="126"/>
    </row>
    <row r="198" spans="1:9" x14ac:dyDescent="0.25">
      <c r="A198" t="s">
        <v>845</v>
      </c>
      <c r="B198" t="s">
        <v>853</v>
      </c>
      <c r="C198" t="s">
        <v>1161</v>
      </c>
      <c r="D198">
        <v>11177</v>
      </c>
      <c r="E198" s="120">
        <v>46388</v>
      </c>
      <c r="F198" s="121">
        <v>0.17</v>
      </c>
      <c r="G198" s="126"/>
    </row>
    <row r="199" spans="1:9" x14ac:dyDescent="0.25">
      <c r="A199" t="s">
        <v>845</v>
      </c>
      <c r="B199" t="s">
        <v>854</v>
      </c>
      <c r="C199" t="s">
        <v>1162</v>
      </c>
      <c r="D199">
        <v>56184</v>
      </c>
      <c r="E199" s="120">
        <v>46388</v>
      </c>
      <c r="F199" s="121">
        <v>0.15759999999999999</v>
      </c>
      <c r="G199" s="126"/>
    </row>
    <row r="200" spans="1:9" x14ac:dyDescent="0.25">
      <c r="A200" t="s">
        <v>845</v>
      </c>
      <c r="B200" t="s">
        <v>855</v>
      </c>
      <c r="C200" t="s">
        <v>1163</v>
      </c>
      <c r="D200">
        <v>74289</v>
      </c>
      <c r="E200" s="120">
        <v>46388</v>
      </c>
      <c r="F200" s="121">
        <v>0.23799999999999999</v>
      </c>
      <c r="G200" s="126"/>
    </row>
    <row r="201" spans="1:9" ht="15.75" thickBot="1" x14ac:dyDescent="0.3">
      <c r="A201" t="s">
        <v>845</v>
      </c>
      <c r="B201" t="s">
        <v>856</v>
      </c>
      <c r="C201" s="63" t="s">
        <v>1164</v>
      </c>
      <c r="D201" s="63">
        <v>54235</v>
      </c>
      <c r="E201" s="123">
        <v>46388</v>
      </c>
      <c r="F201" s="124">
        <v>0.52100000000000002</v>
      </c>
      <c r="G201" s="137"/>
      <c r="H201" s="63"/>
      <c r="I201" s="63"/>
    </row>
    <row r="202" spans="1:9" x14ac:dyDescent="0.25">
      <c r="A202" t="s">
        <v>445</v>
      </c>
      <c r="B202" t="s">
        <v>865</v>
      </c>
      <c r="C202" t="s">
        <v>1165</v>
      </c>
      <c r="D202">
        <v>31981</v>
      </c>
      <c r="E202" s="120">
        <v>46388</v>
      </c>
      <c r="F202" s="121">
        <v>0.15809999999999999</v>
      </c>
      <c r="G202" s="129">
        <v>0.14269999999999999</v>
      </c>
    </row>
    <row r="203" spans="1:9" x14ac:dyDescent="0.25">
      <c r="A203" t="s">
        <v>445</v>
      </c>
      <c r="B203" t="s">
        <v>866</v>
      </c>
      <c r="C203" t="s">
        <v>866</v>
      </c>
      <c r="D203">
        <v>41047</v>
      </c>
      <c r="E203" s="120">
        <v>46388</v>
      </c>
      <c r="F203" s="121">
        <v>9.4899999999999998E-2</v>
      </c>
      <c r="G203" s="126"/>
    </row>
    <row r="204" spans="1:9" x14ac:dyDescent="0.25">
      <c r="A204" t="s">
        <v>445</v>
      </c>
      <c r="B204" t="s">
        <v>867</v>
      </c>
      <c r="C204" t="s">
        <v>1049</v>
      </c>
      <c r="D204">
        <v>22235</v>
      </c>
      <c r="E204" s="120">
        <v>46388</v>
      </c>
      <c r="F204" s="121">
        <v>0.1118</v>
      </c>
      <c r="G204" s="126"/>
    </row>
    <row r="205" spans="1:9" x14ac:dyDescent="0.25">
      <c r="A205" t="s">
        <v>445</v>
      </c>
      <c r="B205" t="s">
        <v>868</v>
      </c>
      <c r="C205" t="s">
        <v>1166</v>
      </c>
      <c r="D205">
        <v>29276</v>
      </c>
      <c r="E205" s="120">
        <v>46388</v>
      </c>
      <c r="F205" s="121">
        <v>0.16200000000000001</v>
      </c>
      <c r="G205" s="126"/>
    </row>
    <row r="206" spans="1:9" x14ac:dyDescent="0.25">
      <c r="A206" t="s">
        <v>445</v>
      </c>
      <c r="B206" t="s">
        <v>869</v>
      </c>
      <c r="C206" t="s">
        <v>869</v>
      </c>
      <c r="D206">
        <v>80627</v>
      </c>
      <c r="E206" s="120">
        <v>46388</v>
      </c>
      <c r="F206" s="121">
        <v>0.2157</v>
      </c>
      <c r="G206" s="126"/>
    </row>
    <row r="207" spans="1:9" x14ac:dyDescent="0.25">
      <c r="A207" t="s">
        <v>445</v>
      </c>
      <c r="B207" t="s">
        <v>870</v>
      </c>
      <c r="C207" t="s">
        <v>1167</v>
      </c>
      <c r="D207">
        <v>64353</v>
      </c>
      <c r="E207" s="120">
        <v>46388</v>
      </c>
      <c r="F207" s="121">
        <v>0.19489999999999999</v>
      </c>
      <c r="G207" s="126"/>
    </row>
    <row r="208" spans="1:9" x14ac:dyDescent="0.25">
      <c r="A208" t="s">
        <v>445</v>
      </c>
      <c r="B208" t="s">
        <v>871</v>
      </c>
      <c r="C208" t="s">
        <v>1168</v>
      </c>
      <c r="D208">
        <v>29341</v>
      </c>
      <c r="E208" s="120">
        <v>46388</v>
      </c>
      <c r="F208" s="121">
        <v>0.17960000000000001</v>
      </c>
      <c r="G208" s="126"/>
    </row>
    <row r="209" spans="1:9" x14ac:dyDescent="0.25">
      <c r="A209" t="s">
        <v>445</v>
      </c>
      <c r="B209" t="s">
        <v>872</v>
      </c>
      <c r="C209" t="s">
        <v>872</v>
      </c>
      <c r="D209">
        <v>45845</v>
      </c>
      <c r="E209" s="120">
        <v>46388</v>
      </c>
      <c r="F209" s="121">
        <v>-1.46E-2</v>
      </c>
      <c r="G209" s="126"/>
    </row>
    <row r="210" spans="1:9" x14ac:dyDescent="0.25">
      <c r="A210" t="s">
        <v>445</v>
      </c>
      <c r="B210" t="s">
        <v>873</v>
      </c>
      <c r="C210" t="s">
        <v>1169</v>
      </c>
      <c r="D210">
        <v>52664</v>
      </c>
      <c r="E210" s="120">
        <v>46388</v>
      </c>
      <c r="F210" s="121">
        <v>0.1041</v>
      </c>
      <c r="G210" s="126"/>
    </row>
    <row r="211" spans="1:9" x14ac:dyDescent="0.25">
      <c r="A211" t="s">
        <v>445</v>
      </c>
      <c r="B211" t="s">
        <v>874</v>
      </c>
      <c r="C211" t="s">
        <v>1170</v>
      </c>
      <c r="D211">
        <v>83396</v>
      </c>
      <c r="E211" s="120">
        <v>46388</v>
      </c>
      <c r="F211" s="121">
        <v>0.1229</v>
      </c>
      <c r="G211" s="126"/>
    </row>
    <row r="212" spans="1:9" ht="15.75" thickBot="1" x14ac:dyDescent="0.3">
      <c r="A212" s="63" t="s">
        <v>445</v>
      </c>
      <c r="B212" s="63" t="s">
        <v>875</v>
      </c>
      <c r="C212" s="63" t="s">
        <v>1171</v>
      </c>
      <c r="D212" s="63">
        <v>33931</v>
      </c>
      <c r="E212" s="123">
        <v>46388</v>
      </c>
      <c r="F212" s="124">
        <v>0.24079999999999999</v>
      </c>
      <c r="G212" s="137"/>
      <c r="H212" s="63"/>
      <c r="I212" s="63"/>
    </row>
    <row r="213" spans="1:9" x14ac:dyDescent="0.25">
      <c r="A213" t="s">
        <v>472</v>
      </c>
      <c r="B213" t="s">
        <v>768</v>
      </c>
      <c r="C213" t="s">
        <v>1049</v>
      </c>
      <c r="D213">
        <v>33249</v>
      </c>
      <c r="E213" s="120">
        <v>46388</v>
      </c>
      <c r="F213" s="121">
        <v>0.21990000000000001</v>
      </c>
      <c r="G213" s="129">
        <v>0.21909999999999999</v>
      </c>
    </row>
    <row r="214" spans="1:9" x14ac:dyDescent="0.25">
      <c r="A214" t="s">
        <v>472</v>
      </c>
      <c r="B214" t="s">
        <v>876</v>
      </c>
      <c r="C214" t="s">
        <v>876</v>
      </c>
      <c r="D214">
        <v>87571</v>
      </c>
      <c r="E214" s="120">
        <v>46388</v>
      </c>
      <c r="F214" s="121">
        <v>0.12839999999999999</v>
      </c>
      <c r="G214" s="126"/>
    </row>
    <row r="215" spans="1:9" x14ac:dyDescent="0.25">
      <c r="A215" t="s">
        <v>472</v>
      </c>
      <c r="B215" t="s">
        <v>686</v>
      </c>
      <c r="C215" t="s">
        <v>686</v>
      </c>
      <c r="D215">
        <v>62505</v>
      </c>
      <c r="E215" s="120">
        <v>46388</v>
      </c>
      <c r="F215" s="121">
        <v>0.28989999999999999</v>
      </c>
      <c r="G215" s="126"/>
    </row>
    <row r="216" spans="1:9" x14ac:dyDescent="0.25">
      <c r="A216" t="s">
        <v>472</v>
      </c>
      <c r="B216" t="s">
        <v>877</v>
      </c>
      <c r="C216" t="s">
        <v>877</v>
      </c>
      <c r="D216">
        <v>98905</v>
      </c>
      <c r="E216" s="120">
        <v>46388</v>
      </c>
      <c r="F216" s="121">
        <v>0.2412</v>
      </c>
      <c r="G216" s="126"/>
    </row>
    <row r="217" spans="1:9" x14ac:dyDescent="0.25">
      <c r="A217" t="s">
        <v>472</v>
      </c>
      <c r="B217" t="s">
        <v>687</v>
      </c>
      <c r="C217" t="s">
        <v>687</v>
      </c>
      <c r="D217">
        <v>91908</v>
      </c>
      <c r="E217" s="120">
        <v>46388</v>
      </c>
      <c r="F217" s="121">
        <v>0.13059999999999999</v>
      </c>
      <c r="G217" s="126"/>
    </row>
    <row r="218" spans="1:9" ht="15.75" thickBot="1" x14ac:dyDescent="0.3">
      <c r="A218" s="63" t="s">
        <v>472</v>
      </c>
      <c r="B218" s="63" t="s">
        <v>878</v>
      </c>
      <c r="C218" s="63" t="s">
        <v>1172</v>
      </c>
      <c r="D218" s="63">
        <v>45480</v>
      </c>
      <c r="E218" s="123">
        <v>46388</v>
      </c>
      <c r="F218" s="124">
        <v>0.30459999999999998</v>
      </c>
      <c r="G218" s="137"/>
      <c r="H218" s="63"/>
      <c r="I218" s="63"/>
    </row>
    <row r="219" spans="1:9" x14ac:dyDescent="0.25">
      <c r="A219" t="s">
        <v>484</v>
      </c>
      <c r="B219" t="s">
        <v>879</v>
      </c>
      <c r="C219" t="s">
        <v>879</v>
      </c>
      <c r="D219">
        <v>63474</v>
      </c>
      <c r="E219" s="120">
        <v>46388</v>
      </c>
      <c r="F219" s="121">
        <v>0.1187</v>
      </c>
      <c r="G219" s="129">
        <v>0.157</v>
      </c>
    </row>
    <row r="220" spans="1:9" x14ac:dyDescent="0.25">
      <c r="A220" t="s">
        <v>484</v>
      </c>
      <c r="B220" t="s">
        <v>880</v>
      </c>
      <c r="C220" t="s">
        <v>1173</v>
      </c>
      <c r="D220">
        <v>71287</v>
      </c>
      <c r="E220" s="120">
        <v>46388</v>
      </c>
      <c r="F220" s="121">
        <v>0.123</v>
      </c>
      <c r="G220" s="126"/>
    </row>
    <row r="221" spans="1:9" x14ac:dyDescent="0.25">
      <c r="A221" t="s">
        <v>484</v>
      </c>
      <c r="B221" t="s">
        <v>749</v>
      </c>
      <c r="C221" t="s">
        <v>18</v>
      </c>
      <c r="D221">
        <v>39424</v>
      </c>
      <c r="E221" s="120">
        <v>46388</v>
      </c>
      <c r="F221" s="121">
        <v>0.26369999999999999</v>
      </c>
      <c r="G221" s="126"/>
    </row>
    <row r="222" spans="1:9" ht="15.75" thickBot="1" x14ac:dyDescent="0.3">
      <c r="A222" s="63" t="s">
        <v>484</v>
      </c>
      <c r="B222" s="63" t="s">
        <v>881</v>
      </c>
      <c r="C222" s="63" t="s">
        <v>881</v>
      </c>
      <c r="D222" s="63">
        <v>77969</v>
      </c>
      <c r="E222" s="123">
        <v>46388</v>
      </c>
      <c r="F222" s="124">
        <v>0.12239999999999999</v>
      </c>
      <c r="G222" s="137"/>
      <c r="H222" s="63"/>
      <c r="I222" s="63"/>
    </row>
    <row r="223" spans="1:9" x14ac:dyDescent="0.25">
      <c r="A223" t="s">
        <v>495</v>
      </c>
      <c r="B223" t="s">
        <v>882</v>
      </c>
      <c r="C223" t="s">
        <v>1049</v>
      </c>
      <c r="D223">
        <v>15983</v>
      </c>
      <c r="E223" s="120">
        <v>46388</v>
      </c>
      <c r="F223" s="121">
        <v>0.31290000000000001</v>
      </c>
      <c r="G223" s="129">
        <v>0.17949999999999999</v>
      </c>
    </row>
    <row r="224" spans="1:9" x14ac:dyDescent="0.25">
      <c r="A224" t="s">
        <v>495</v>
      </c>
      <c r="B224" t="s">
        <v>883</v>
      </c>
      <c r="C224" t="s">
        <v>883</v>
      </c>
      <c r="D224">
        <v>45127</v>
      </c>
      <c r="E224" s="120">
        <v>46388</v>
      </c>
      <c r="F224" s="121">
        <v>0.1953</v>
      </c>
      <c r="G224" s="126"/>
    </row>
    <row r="225" spans="1:9" x14ac:dyDescent="0.25">
      <c r="A225" t="s">
        <v>495</v>
      </c>
      <c r="B225" t="s">
        <v>1174</v>
      </c>
      <c r="C225" t="s">
        <v>1174</v>
      </c>
      <c r="D225">
        <v>22444</v>
      </c>
      <c r="E225" s="120">
        <v>46388</v>
      </c>
      <c r="F225" s="121">
        <v>9.6799999999999997E-2</v>
      </c>
      <c r="G225" s="126"/>
    </row>
    <row r="226" spans="1:9" x14ac:dyDescent="0.25">
      <c r="A226" t="s">
        <v>495</v>
      </c>
      <c r="B226" t="s">
        <v>884</v>
      </c>
      <c r="C226" t="s">
        <v>884</v>
      </c>
      <c r="D226">
        <v>75729</v>
      </c>
      <c r="E226" s="120">
        <v>46388</v>
      </c>
      <c r="F226" s="121">
        <v>0.1221</v>
      </c>
      <c r="G226" s="126"/>
    </row>
    <row r="227" spans="1:9" x14ac:dyDescent="0.25">
      <c r="A227" t="s">
        <v>495</v>
      </c>
      <c r="B227" t="s">
        <v>885</v>
      </c>
      <c r="C227" t="s">
        <v>1175</v>
      </c>
      <c r="D227">
        <v>93909</v>
      </c>
      <c r="E227" s="120">
        <v>46388</v>
      </c>
      <c r="F227" s="121">
        <v>0.18229999999999999</v>
      </c>
      <c r="G227" s="126"/>
    </row>
    <row r="228" spans="1:9" x14ac:dyDescent="0.25">
      <c r="A228" t="s">
        <v>495</v>
      </c>
      <c r="B228" t="s">
        <v>886</v>
      </c>
      <c r="C228" t="s">
        <v>1176</v>
      </c>
      <c r="D228">
        <v>79962</v>
      </c>
      <c r="E228" s="120">
        <v>46388</v>
      </c>
      <c r="F228" s="121">
        <v>0.2107</v>
      </c>
      <c r="G228" s="126"/>
    </row>
    <row r="229" spans="1:9" x14ac:dyDescent="0.25">
      <c r="A229" t="s">
        <v>495</v>
      </c>
      <c r="B229" t="s">
        <v>887</v>
      </c>
      <c r="C229" t="s">
        <v>1177</v>
      </c>
      <c r="D229">
        <v>33709</v>
      </c>
      <c r="E229" s="120">
        <v>46388</v>
      </c>
      <c r="F229" s="121">
        <v>0.1497</v>
      </c>
      <c r="G229" s="126"/>
    </row>
    <row r="230" spans="1:9" x14ac:dyDescent="0.25">
      <c r="A230" t="s">
        <v>495</v>
      </c>
      <c r="B230" t="s">
        <v>1178</v>
      </c>
      <c r="C230" t="s">
        <v>1178</v>
      </c>
      <c r="D230">
        <v>31609</v>
      </c>
      <c r="E230" s="120">
        <v>46388</v>
      </c>
      <c r="F230" s="121">
        <v>0.2213</v>
      </c>
      <c r="G230" s="126"/>
    </row>
    <row r="231" spans="1:9" x14ac:dyDescent="0.25">
      <c r="A231" t="s">
        <v>495</v>
      </c>
      <c r="B231" t="s">
        <v>888</v>
      </c>
      <c r="C231" t="s">
        <v>888</v>
      </c>
      <c r="D231">
        <v>53789</v>
      </c>
      <c r="E231" s="120">
        <v>46388</v>
      </c>
      <c r="F231" s="121">
        <v>0.35970000000000002</v>
      </c>
      <c r="G231" s="126"/>
    </row>
    <row r="232" spans="1:9" x14ac:dyDescent="0.25">
      <c r="A232" t="s">
        <v>495</v>
      </c>
      <c r="B232" t="s">
        <v>889</v>
      </c>
      <c r="C232" t="s">
        <v>1179</v>
      </c>
      <c r="D232">
        <v>33871</v>
      </c>
      <c r="E232" s="120">
        <v>46388</v>
      </c>
      <c r="F232" s="121">
        <v>0.1699</v>
      </c>
      <c r="G232" s="126"/>
    </row>
    <row r="233" spans="1:9" x14ac:dyDescent="0.25">
      <c r="A233" t="s">
        <v>495</v>
      </c>
      <c r="B233" t="s">
        <v>890</v>
      </c>
      <c r="C233" t="s">
        <v>1180</v>
      </c>
      <c r="D233">
        <v>98517</v>
      </c>
      <c r="E233" s="120">
        <v>46388</v>
      </c>
      <c r="F233" s="121">
        <v>2.3099999999999999E-2</v>
      </c>
      <c r="G233" s="126"/>
    </row>
    <row r="234" spans="1:9" x14ac:dyDescent="0.25">
      <c r="A234" t="s">
        <v>495</v>
      </c>
      <c r="B234" t="s">
        <v>891</v>
      </c>
      <c r="C234" t="s">
        <v>1181</v>
      </c>
      <c r="D234">
        <v>19702</v>
      </c>
      <c r="E234" s="120">
        <v>46388</v>
      </c>
      <c r="F234" s="121">
        <v>0.20549999999999999</v>
      </c>
      <c r="G234" s="126"/>
    </row>
    <row r="235" spans="1:9" ht="15.75" thickBot="1" x14ac:dyDescent="0.3">
      <c r="A235" s="63" t="s">
        <v>495</v>
      </c>
      <c r="B235" s="63" t="s">
        <v>894</v>
      </c>
      <c r="C235" s="63" t="s">
        <v>894</v>
      </c>
      <c r="D235" s="63">
        <v>52899</v>
      </c>
      <c r="E235" s="123">
        <v>46388</v>
      </c>
      <c r="F235" s="124">
        <v>0.15210000000000001</v>
      </c>
      <c r="G235" s="137"/>
      <c r="H235" s="63"/>
      <c r="I235" s="63"/>
    </row>
    <row r="236" spans="1:9" x14ac:dyDescent="0.25">
      <c r="A236" t="s">
        <v>526</v>
      </c>
      <c r="B236" t="s">
        <v>895</v>
      </c>
      <c r="C236" t="s">
        <v>1182</v>
      </c>
      <c r="D236">
        <v>15287</v>
      </c>
      <c r="E236" s="120">
        <v>46388</v>
      </c>
      <c r="F236" s="121">
        <v>0.10580000000000001</v>
      </c>
      <c r="G236" s="129">
        <v>0.25040000000000001</v>
      </c>
    </row>
    <row r="237" spans="1:9" ht="15.75" thickBot="1" x14ac:dyDescent="0.3">
      <c r="A237" s="63" t="s">
        <v>526</v>
      </c>
      <c r="B237" s="63" t="s">
        <v>896</v>
      </c>
      <c r="C237" s="63" t="s">
        <v>1183</v>
      </c>
      <c r="D237" s="63">
        <v>77514</v>
      </c>
      <c r="E237" s="123">
        <v>46388</v>
      </c>
      <c r="F237" s="124">
        <v>0.25040000000000001</v>
      </c>
      <c r="G237" s="137"/>
      <c r="H237" s="63"/>
      <c r="I237" s="63"/>
    </row>
    <row r="238" spans="1:9" x14ac:dyDescent="0.25">
      <c r="A238" t="s">
        <v>531</v>
      </c>
      <c r="B238" t="s">
        <v>897</v>
      </c>
      <c r="C238" t="s">
        <v>1184</v>
      </c>
      <c r="D238">
        <v>79222</v>
      </c>
      <c r="E238" s="120">
        <v>46388</v>
      </c>
      <c r="F238" s="121">
        <v>0.22090000000000001</v>
      </c>
      <c r="G238" s="130">
        <v>0.22359999999999999</v>
      </c>
    </row>
    <row r="239" spans="1:9" x14ac:dyDescent="0.25">
      <c r="A239" t="s">
        <v>531</v>
      </c>
      <c r="B239" t="s">
        <v>898</v>
      </c>
      <c r="C239" t="s">
        <v>898</v>
      </c>
      <c r="D239">
        <v>26065</v>
      </c>
      <c r="E239" s="120">
        <v>46388</v>
      </c>
      <c r="F239" s="121">
        <v>0.15590000000000001</v>
      </c>
      <c r="G239" s="138"/>
    </row>
    <row r="240" spans="1:9" x14ac:dyDescent="0.25">
      <c r="A240" t="s">
        <v>531</v>
      </c>
      <c r="B240" t="s">
        <v>899</v>
      </c>
      <c r="C240" t="s">
        <v>899</v>
      </c>
      <c r="D240">
        <v>49532</v>
      </c>
      <c r="E240" s="120">
        <v>46388</v>
      </c>
      <c r="F240" s="121">
        <v>0.23899999999999999</v>
      </c>
      <c r="G240" s="138"/>
    </row>
    <row r="241" spans="1:9" x14ac:dyDescent="0.25">
      <c r="A241" t="s">
        <v>531</v>
      </c>
      <c r="B241" t="s">
        <v>686</v>
      </c>
      <c r="C241" t="s">
        <v>1049</v>
      </c>
      <c r="D241">
        <v>60067</v>
      </c>
      <c r="E241" s="120">
        <v>46388</v>
      </c>
      <c r="F241" s="121">
        <v>0.23230000000000001</v>
      </c>
      <c r="G241" s="138"/>
    </row>
    <row r="242" spans="1:9" x14ac:dyDescent="0.25">
      <c r="A242" t="s">
        <v>531</v>
      </c>
      <c r="B242" t="s">
        <v>900</v>
      </c>
      <c r="C242" t="s">
        <v>1185</v>
      </c>
      <c r="D242">
        <v>33863</v>
      </c>
      <c r="E242" s="120">
        <v>46388</v>
      </c>
      <c r="F242" s="121">
        <v>0.23369999999999999</v>
      </c>
      <c r="G242" s="138"/>
    </row>
    <row r="243" spans="1:9" x14ac:dyDescent="0.25">
      <c r="A243" t="s">
        <v>531</v>
      </c>
      <c r="B243" t="s">
        <v>901</v>
      </c>
      <c r="C243" t="s">
        <v>901</v>
      </c>
      <c r="D243">
        <v>42326</v>
      </c>
      <c r="E243" s="120">
        <v>46388</v>
      </c>
      <c r="F243" s="121">
        <v>0.14560000000000001</v>
      </c>
      <c r="G243" s="138"/>
    </row>
    <row r="244" spans="1:9" x14ac:dyDescent="0.25">
      <c r="A244" t="s">
        <v>531</v>
      </c>
      <c r="B244" t="s">
        <v>902</v>
      </c>
      <c r="C244" t="s">
        <v>902</v>
      </c>
      <c r="D244">
        <v>73107</v>
      </c>
      <c r="E244" s="120">
        <v>46388</v>
      </c>
      <c r="F244" s="121">
        <v>0.1067</v>
      </c>
      <c r="G244" s="138"/>
    </row>
    <row r="245" spans="1:9" ht="15.75" thickBot="1" x14ac:dyDescent="0.3">
      <c r="A245" s="63" t="s">
        <v>531</v>
      </c>
      <c r="B245" s="63" t="s">
        <v>903</v>
      </c>
      <c r="C245" s="63" t="s">
        <v>1186</v>
      </c>
      <c r="D245" s="63">
        <v>33764</v>
      </c>
      <c r="E245" s="123">
        <v>46388</v>
      </c>
      <c r="F245" s="124">
        <v>0.45479999999999998</v>
      </c>
      <c r="G245" s="139"/>
      <c r="H245" s="63"/>
      <c r="I245" s="63"/>
    </row>
    <row r="246" spans="1:9" x14ac:dyDescent="0.25">
      <c r="A246" t="s">
        <v>547</v>
      </c>
      <c r="B246" t="s">
        <v>904</v>
      </c>
      <c r="C246" t="s">
        <v>1083</v>
      </c>
      <c r="D246">
        <v>60536</v>
      </c>
      <c r="E246" s="120">
        <v>46388</v>
      </c>
      <c r="F246" s="121">
        <v>0.1174</v>
      </c>
      <c r="G246" s="129">
        <v>0.1016</v>
      </c>
    </row>
    <row r="247" spans="1:9" x14ac:dyDescent="0.25">
      <c r="A247" t="s">
        <v>547</v>
      </c>
      <c r="B247" t="s">
        <v>443</v>
      </c>
      <c r="C247" t="s">
        <v>864</v>
      </c>
      <c r="D247">
        <v>31195</v>
      </c>
      <c r="E247" s="120">
        <v>46388</v>
      </c>
      <c r="F247" s="121">
        <v>0.1157</v>
      </c>
      <c r="G247" s="126"/>
    </row>
    <row r="248" spans="1:9" ht="15.75" thickBot="1" x14ac:dyDescent="0.3">
      <c r="A248" s="63" t="s">
        <v>547</v>
      </c>
      <c r="B248" s="63" t="s">
        <v>905</v>
      </c>
      <c r="C248" s="63" t="s">
        <v>905</v>
      </c>
      <c r="D248" s="63">
        <v>50305</v>
      </c>
      <c r="E248" s="123">
        <v>46388</v>
      </c>
      <c r="F248" s="124">
        <v>7.1800000000000003E-2</v>
      </c>
      <c r="G248" s="137"/>
      <c r="H248" s="63"/>
      <c r="I248" s="63"/>
    </row>
    <row r="249" spans="1:9" x14ac:dyDescent="0.25">
      <c r="A249" t="s">
        <v>553</v>
      </c>
      <c r="B249" t="s">
        <v>906</v>
      </c>
      <c r="C249" t="s">
        <v>737</v>
      </c>
      <c r="D249">
        <v>29854</v>
      </c>
      <c r="E249" s="120">
        <v>46388</v>
      </c>
      <c r="F249" s="121">
        <v>0.2331</v>
      </c>
      <c r="G249" s="129">
        <v>0.18360000000000001</v>
      </c>
    </row>
    <row r="250" spans="1:9" x14ac:dyDescent="0.25">
      <c r="A250" t="s">
        <v>553</v>
      </c>
      <c r="B250" t="s">
        <v>907</v>
      </c>
      <c r="C250" t="s">
        <v>1049</v>
      </c>
      <c r="D250">
        <v>20712</v>
      </c>
      <c r="E250" s="120">
        <v>46388</v>
      </c>
      <c r="F250" s="121">
        <v>0.18060000000000001</v>
      </c>
      <c r="G250" s="126"/>
    </row>
    <row r="251" spans="1:9" x14ac:dyDescent="0.25">
      <c r="A251" t="s">
        <v>553</v>
      </c>
      <c r="B251" t="s">
        <v>908</v>
      </c>
      <c r="C251" t="s">
        <v>1187</v>
      </c>
      <c r="D251">
        <v>14002</v>
      </c>
      <c r="E251" s="120">
        <v>46388</v>
      </c>
      <c r="F251" s="121">
        <v>0.1036</v>
      </c>
      <c r="G251" s="126"/>
    </row>
    <row r="252" spans="1:9" x14ac:dyDescent="0.25">
      <c r="A252" t="s">
        <v>553</v>
      </c>
      <c r="B252" t="s">
        <v>686</v>
      </c>
      <c r="C252" t="s">
        <v>686</v>
      </c>
      <c r="D252">
        <v>70111</v>
      </c>
      <c r="E252" s="120">
        <v>46388</v>
      </c>
      <c r="F252" s="121">
        <v>0.1101</v>
      </c>
      <c r="G252" s="126"/>
    </row>
    <row r="253" spans="1:9" x14ac:dyDescent="0.25">
      <c r="A253" t="s">
        <v>553</v>
      </c>
      <c r="B253" t="s">
        <v>687</v>
      </c>
      <c r="C253" t="s">
        <v>687</v>
      </c>
      <c r="D253">
        <v>23552</v>
      </c>
      <c r="E253" s="120">
        <v>46388</v>
      </c>
      <c r="F253" s="121">
        <v>0.18720000000000001</v>
      </c>
      <c r="G253" s="126"/>
    </row>
    <row r="254" spans="1:9" ht="15.75" thickBot="1" x14ac:dyDescent="0.3">
      <c r="A254" s="63" t="s">
        <v>553</v>
      </c>
      <c r="B254" s="63" t="s">
        <v>560</v>
      </c>
      <c r="C254" s="63" t="s">
        <v>560</v>
      </c>
      <c r="D254" s="63">
        <v>69443</v>
      </c>
      <c r="E254" s="123">
        <v>46388</v>
      </c>
      <c r="F254" s="124">
        <v>0.2868</v>
      </c>
      <c r="G254" s="137"/>
      <c r="H254" s="63"/>
      <c r="I254" s="63"/>
    </row>
    <row r="255" spans="1:9" x14ac:dyDescent="0.25">
      <c r="A255" t="s">
        <v>562</v>
      </c>
      <c r="B255" t="s">
        <v>909</v>
      </c>
      <c r="C255" t="s">
        <v>1049</v>
      </c>
      <c r="D255">
        <v>43480</v>
      </c>
      <c r="E255" s="120">
        <v>46388</v>
      </c>
      <c r="F255" s="121">
        <v>1.2999999999999999E-2</v>
      </c>
      <c r="G255" s="129">
        <v>0.1666</v>
      </c>
    </row>
    <row r="256" spans="1:9" x14ac:dyDescent="0.25">
      <c r="A256" t="s">
        <v>562</v>
      </c>
      <c r="B256" t="s">
        <v>910</v>
      </c>
      <c r="C256" t="s">
        <v>910</v>
      </c>
      <c r="D256">
        <v>33602</v>
      </c>
      <c r="E256" s="120">
        <v>46388</v>
      </c>
      <c r="F256" s="121">
        <v>8.9300000000000004E-2</v>
      </c>
      <c r="G256" s="126"/>
    </row>
    <row r="257" spans="1:9" x14ac:dyDescent="0.25">
      <c r="A257" t="s">
        <v>562</v>
      </c>
      <c r="B257" t="s">
        <v>686</v>
      </c>
      <c r="C257" t="s">
        <v>1188</v>
      </c>
      <c r="D257">
        <v>29418</v>
      </c>
      <c r="E257" s="120">
        <v>46388</v>
      </c>
      <c r="F257" s="121">
        <v>4.7199999999999999E-2</v>
      </c>
      <c r="G257" s="126"/>
    </row>
    <row r="258" spans="1:9" x14ac:dyDescent="0.25">
      <c r="A258" t="s">
        <v>562</v>
      </c>
      <c r="B258" t="s">
        <v>911</v>
      </c>
      <c r="C258" t="s">
        <v>911</v>
      </c>
      <c r="D258">
        <v>66252</v>
      </c>
      <c r="E258" s="120">
        <v>46388</v>
      </c>
      <c r="F258" s="121">
        <v>0.12529999999999999</v>
      </c>
      <c r="G258" s="126"/>
    </row>
    <row r="259" spans="1:9" x14ac:dyDescent="0.25">
      <c r="A259" t="s">
        <v>562</v>
      </c>
      <c r="B259" t="s">
        <v>912</v>
      </c>
      <c r="C259" t="s">
        <v>912</v>
      </c>
      <c r="D259">
        <v>63251</v>
      </c>
      <c r="E259" s="120">
        <v>46388</v>
      </c>
      <c r="F259" s="121">
        <v>0.1419</v>
      </c>
      <c r="G259" s="126"/>
    </row>
    <row r="260" spans="1:9" x14ac:dyDescent="0.25">
      <c r="A260" t="s">
        <v>562</v>
      </c>
      <c r="B260" t="s">
        <v>913</v>
      </c>
      <c r="C260" t="s">
        <v>1189</v>
      </c>
      <c r="D260">
        <v>11718</v>
      </c>
      <c r="E260" s="120">
        <v>46388</v>
      </c>
      <c r="F260" s="121">
        <v>0.27229999999999999</v>
      </c>
      <c r="G260" s="126"/>
    </row>
    <row r="261" spans="1:9" x14ac:dyDescent="0.25">
      <c r="A261" t="s">
        <v>562</v>
      </c>
      <c r="B261" t="s">
        <v>914</v>
      </c>
      <c r="C261" t="s">
        <v>914</v>
      </c>
      <c r="D261">
        <v>27248</v>
      </c>
      <c r="E261" s="120">
        <v>46388</v>
      </c>
      <c r="F261" s="121">
        <v>0.27160000000000001</v>
      </c>
      <c r="G261" s="126"/>
    </row>
    <row r="262" spans="1:9" x14ac:dyDescent="0.25">
      <c r="A262" t="s">
        <v>562</v>
      </c>
      <c r="B262" t="s">
        <v>915</v>
      </c>
      <c r="C262" t="s">
        <v>915</v>
      </c>
      <c r="D262">
        <v>37758</v>
      </c>
      <c r="E262" s="120">
        <v>46388</v>
      </c>
      <c r="F262" s="121">
        <v>7.9100000000000004E-2</v>
      </c>
      <c r="G262" s="126"/>
    </row>
    <row r="263" spans="1:9" x14ac:dyDescent="0.25">
      <c r="A263" t="s">
        <v>562</v>
      </c>
      <c r="B263" t="s">
        <v>699</v>
      </c>
      <c r="C263" t="s">
        <v>1149</v>
      </c>
      <c r="D263">
        <v>34826</v>
      </c>
      <c r="E263" s="120">
        <v>46388</v>
      </c>
      <c r="F263" s="121">
        <v>0.1275</v>
      </c>
      <c r="G263" s="126"/>
    </row>
    <row r="264" spans="1:9" x14ac:dyDescent="0.25">
      <c r="A264" t="s">
        <v>562</v>
      </c>
      <c r="B264" t="s">
        <v>749</v>
      </c>
      <c r="C264" t="s">
        <v>18</v>
      </c>
      <c r="D264">
        <v>17933</v>
      </c>
      <c r="E264" s="120">
        <v>46388</v>
      </c>
      <c r="F264" s="121">
        <v>0.2525</v>
      </c>
      <c r="G264" s="126"/>
    </row>
    <row r="265" spans="1:9" x14ac:dyDescent="0.25">
      <c r="A265" t="s">
        <v>562</v>
      </c>
      <c r="B265" t="s">
        <v>916</v>
      </c>
      <c r="C265" t="s">
        <v>1190</v>
      </c>
      <c r="D265">
        <v>45786</v>
      </c>
      <c r="E265" s="120">
        <v>46388</v>
      </c>
      <c r="F265" s="121">
        <v>0.12959999999999999</v>
      </c>
      <c r="G265" s="126"/>
    </row>
    <row r="266" spans="1:9" x14ac:dyDescent="0.25">
      <c r="A266" t="s">
        <v>562</v>
      </c>
      <c r="B266" t="s">
        <v>687</v>
      </c>
      <c r="C266" t="s">
        <v>1163</v>
      </c>
      <c r="D266">
        <v>20069</v>
      </c>
      <c r="E266" s="120">
        <v>46388</v>
      </c>
      <c r="F266" s="121">
        <v>9.5600000000000004E-2</v>
      </c>
      <c r="G266" s="126"/>
    </row>
    <row r="267" spans="1:9" x14ac:dyDescent="0.25">
      <c r="A267" t="s">
        <v>562</v>
      </c>
      <c r="B267" t="s">
        <v>917</v>
      </c>
      <c r="C267" t="s">
        <v>1191</v>
      </c>
      <c r="D267">
        <v>71837</v>
      </c>
      <c r="E267" s="120">
        <v>46388</v>
      </c>
      <c r="F267" s="121">
        <v>0.31069999999999998</v>
      </c>
      <c r="G267" s="126"/>
    </row>
    <row r="268" spans="1:9" x14ac:dyDescent="0.25">
      <c r="A268" t="s">
        <v>562</v>
      </c>
      <c r="B268" t="s">
        <v>588</v>
      </c>
      <c r="C268" t="s">
        <v>1192</v>
      </c>
      <c r="D268">
        <v>87226</v>
      </c>
      <c r="E268" s="120">
        <v>46388</v>
      </c>
      <c r="F268" s="121">
        <v>0.1106</v>
      </c>
      <c r="G268" s="126"/>
    </row>
    <row r="269" spans="1:9" x14ac:dyDescent="0.25">
      <c r="A269" t="s">
        <v>562</v>
      </c>
      <c r="B269" t="s">
        <v>918</v>
      </c>
      <c r="C269" t="s">
        <v>1193</v>
      </c>
      <c r="D269">
        <v>70754</v>
      </c>
      <c r="E269" s="120">
        <v>46388</v>
      </c>
      <c r="F269" s="121">
        <v>0.33960000000000001</v>
      </c>
      <c r="G269" s="126"/>
    </row>
    <row r="270" spans="1:9" x14ac:dyDescent="0.25">
      <c r="A270" t="s">
        <v>562</v>
      </c>
      <c r="B270" t="s">
        <v>919</v>
      </c>
      <c r="C270" t="s">
        <v>919</v>
      </c>
      <c r="D270">
        <v>40220</v>
      </c>
      <c r="E270" s="120">
        <v>46388</v>
      </c>
      <c r="F270" s="121">
        <v>0.2737</v>
      </c>
      <c r="G270" s="126"/>
    </row>
    <row r="271" spans="1:9" ht="15.75" thickBot="1" x14ac:dyDescent="0.3">
      <c r="A271" s="63" t="s">
        <v>562</v>
      </c>
      <c r="B271" s="63" t="s">
        <v>920</v>
      </c>
      <c r="C271" s="63" t="s">
        <v>920</v>
      </c>
      <c r="D271" s="63">
        <v>47501</v>
      </c>
      <c r="E271" s="123">
        <v>46388</v>
      </c>
      <c r="F271" s="124">
        <v>0.1527</v>
      </c>
      <c r="G271" s="137"/>
      <c r="H271" s="63"/>
      <c r="I271" s="63"/>
    </row>
    <row r="272" spans="1:9" x14ac:dyDescent="0.25">
      <c r="A272" t="s">
        <v>594</v>
      </c>
      <c r="B272" t="s">
        <v>879</v>
      </c>
      <c r="C272" t="s">
        <v>879</v>
      </c>
      <c r="D272">
        <v>34541</v>
      </c>
      <c r="E272" s="120">
        <v>46388</v>
      </c>
      <c r="F272" s="121">
        <v>7.85E-2</v>
      </c>
      <c r="G272" s="129">
        <v>9.69E-2</v>
      </c>
    </row>
    <row r="273" spans="1:9" x14ac:dyDescent="0.25">
      <c r="A273" t="s">
        <v>594</v>
      </c>
      <c r="B273" t="s">
        <v>921</v>
      </c>
      <c r="C273" t="s">
        <v>921</v>
      </c>
      <c r="D273">
        <v>98113</v>
      </c>
      <c r="E273" s="120">
        <v>46388</v>
      </c>
      <c r="F273" s="121">
        <v>0.1575</v>
      </c>
      <c r="G273" s="126"/>
    </row>
    <row r="274" spans="1:9" x14ac:dyDescent="0.25">
      <c r="A274" t="s">
        <v>594</v>
      </c>
      <c r="B274" t="s">
        <v>750</v>
      </c>
      <c r="C274" t="s">
        <v>750</v>
      </c>
      <c r="D274">
        <v>18167</v>
      </c>
      <c r="E274" s="120">
        <v>46388</v>
      </c>
      <c r="F274" s="121">
        <v>9.1600000000000001E-2</v>
      </c>
      <c r="G274" s="126"/>
    </row>
    <row r="275" spans="1:9" x14ac:dyDescent="0.25">
      <c r="A275" t="s">
        <v>594</v>
      </c>
      <c r="B275" t="s">
        <v>922</v>
      </c>
      <c r="C275" t="s">
        <v>922</v>
      </c>
      <c r="D275">
        <v>22013</v>
      </c>
      <c r="E275" s="120">
        <v>46388</v>
      </c>
      <c r="F275" s="121">
        <v>6.3500000000000001E-2</v>
      </c>
      <c r="G275" s="126"/>
    </row>
    <row r="276" spans="1:9" x14ac:dyDescent="0.25">
      <c r="A276" t="s">
        <v>594</v>
      </c>
      <c r="B276" t="s">
        <v>829</v>
      </c>
      <c r="C276" t="s">
        <v>1062</v>
      </c>
      <c r="D276">
        <v>68781</v>
      </c>
      <c r="E276" s="120">
        <v>46388</v>
      </c>
      <c r="F276" s="121">
        <v>5.96E-2</v>
      </c>
      <c r="G276" s="126"/>
    </row>
    <row r="277" spans="1:9" ht="15.75" thickBot="1" x14ac:dyDescent="0.3">
      <c r="A277" s="63" t="s">
        <v>594</v>
      </c>
      <c r="B277" s="63" t="s">
        <v>923</v>
      </c>
      <c r="C277" s="63" t="s">
        <v>1194</v>
      </c>
      <c r="D277" s="63">
        <v>42261</v>
      </c>
      <c r="E277" s="123">
        <v>46388</v>
      </c>
      <c r="F277" s="124">
        <v>0.13059999999999999</v>
      </c>
      <c r="G277" s="137"/>
      <c r="H277" s="63"/>
      <c r="I277" s="63"/>
    </row>
    <row r="278" spans="1:9" x14ac:dyDescent="0.25">
      <c r="A278" t="s">
        <v>610</v>
      </c>
      <c r="B278" t="s">
        <v>926</v>
      </c>
      <c r="C278" t="s">
        <v>1195</v>
      </c>
      <c r="D278">
        <v>16064</v>
      </c>
      <c r="E278" s="120">
        <v>46388</v>
      </c>
      <c r="F278" s="121">
        <v>9.0700000000000003E-2</v>
      </c>
      <c r="G278" s="129">
        <v>0.12570000000000001</v>
      </c>
    </row>
    <row r="279" spans="1:9" x14ac:dyDescent="0.25">
      <c r="A279" t="s">
        <v>610</v>
      </c>
      <c r="B279" t="s">
        <v>721</v>
      </c>
      <c r="C279" t="s">
        <v>1064</v>
      </c>
      <c r="D279">
        <v>10207</v>
      </c>
      <c r="E279" s="120">
        <v>46388</v>
      </c>
      <c r="F279" s="121">
        <v>5.8799999999999998E-2</v>
      </c>
      <c r="G279" s="126"/>
    </row>
    <row r="280" spans="1:9" x14ac:dyDescent="0.25">
      <c r="A280" t="s">
        <v>610</v>
      </c>
      <c r="B280" t="s">
        <v>927</v>
      </c>
      <c r="C280" t="s">
        <v>927</v>
      </c>
      <c r="D280">
        <v>40308</v>
      </c>
      <c r="E280" s="120">
        <v>46388</v>
      </c>
      <c r="F280" s="121">
        <v>8.4099999999999994E-2</v>
      </c>
      <c r="G280" s="126"/>
    </row>
    <row r="281" spans="1:9" x14ac:dyDescent="0.25">
      <c r="A281" t="s">
        <v>610</v>
      </c>
      <c r="B281" t="s">
        <v>928</v>
      </c>
      <c r="C281" t="s">
        <v>928</v>
      </c>
      <c r="D281">
        <v>88380</v>
      </c>
      <c r="E281" s="120">
        <v>46388</v>
      </c>
      <c r="F281" s="121">
        <v>0.126</v>
      </c>
      <c r="G281" s="126"/>
    </row>
    <row r="282" spans="1:9" x14ac:dyDescent="0.25">
      <c r="A282" t="s">
        <v>610</v>
      </c>
      <c r="B282" t="s">
        <v>929</v>
      </c>
      <c r="C282" t="s">
        <v>929</v>
      </c>
      <c r="D282">
        <v>95185</v>
      </c>
      <c r="E282" s="120">
        <v>46388</v>
      </c>
      <c r="F282" s="121">
        <v>0.1148</v>
      </c>
      <c r="G282" s="126"/>
    </row>
    <row r="283" spans="1:9" x14ac:dyDescent="0.25">
      <c r="A283" t="s">
        <v>610</v>
      </c>
      <c r="B283" t="s">
        <v>930</v>
      </c>
      <c r="C283" t="s">
        <v>930</v>
      </c>
      <c r="D283">
        <v>24251</v>
      </c>
      <c r="E283" s="120">
        <v>46388</v>
      </c>
      <c r="F283" s="121">
        <v>0.1593</v>
      </c>
      <c r="G283" s="126"/>
    </row>
    <row r="284" spans="1:9" x14ac:dyDescent="0.25">
      <c r="A284" t="s">
        <v>610</v>
      </c>
      <c r="B284" t="s">
        <v>687</v>
      </c>
      <c r="C284" t="s">
        <v>687</v>
      </c>
      <c r="D284">
        <v>25922</v>
      </c>
      <c r="E284" s="120">
        <v>46388</v>
      </c>
      <c r="F284" s="121">
        <v>0.14330000000000001</v>
      </c>
      <c r="G284" s="126"/>
    </row>
    <row r="285" spans="1:9" ht="15.75" thickBot="1" x14ac:dyDescent="0.3">
      <c r="A285" s="63" t="s">
        <v>610</v>
      </c>
      <c r="B285" s="63" t="s">
        <v>931</v>
      </c>
      <c r="C285" s="63" t="s">
        <v>1196</v>
      </c>
      <c r="D285" s="63">
        <v>20507</v>
      </c>
      <c r="E285" s="123">
        <v>46388</v>
      </c>
      <c r="F285" s="124">
        <v>0.2283</v>
      </c>
      <c r="G285" s="137"/>
      <c r="H285" s="63"/>
      <c r="I285" s="63"/>
    </row>
    <row r="286" spans="1:9" x14ac:dyDescent="0.25">
      <c r="A286" t="s">
        <v>606</v>
      </c>
      <c r="B286" t="s">
        <v>924</v>
      </c>
      <c r="C286" t="s">
        <v>1197</v>
      </c>
      <c r="D286">
        <v>13627</v>
      </c>
      <c r="E286" s="120">
        <v>46388</v>
      </c>
      <c r="F286" s="121">
        <v>5.2400000000000002E-2</v>
      </c>
      <c r="G286" s="129">
        <v>6.5199999999999994E-2</v>
      </c>
    </row>
    <row r="287" spans="1:9" ht="15.75" thickBot="1" x14ac:dyDescent="0.3">
      <c r="A287" s="63" t="s">
        <v>606</v>
      </c>
      <c r="B287" s="63" t="s">
        <v>925</v>
      </c>
      <c r="C287" s="63" t="s">
        <v>1162</v>
      </c>
      <c r="D287" s="63">
        <v>77566</v>
      </c>
      <c r="E287" s="123">
        <v>46388</v>
      </c>
      <c r="F287" s="124">
        <v>7.8E-2</v>
      </c>
      <c r="G287" s="137"/>
      <c r="H287" s="63"/>
      <c r="I287" s="63"/>
    </row>
    <row r="288" spans="1:9" x14ac:dyDescent="0.25">
      <c r="A288" t="s">
        <v>623</v>
      </c>
      <c r="B288" t="s">
        <v>932</v>
      </c>
      <c r="C288" t="s">
        <v>932</v>
      </c>
      <c r="D288">
        <v>69364</v>
      </c>
      <c r="E288" s="120">
        <v>46388</v>
      </c>
      <c r="F288" s="121">
        <v>0.16139999999999999</v>
      </c>
      <c r="G288" s="129">
        <v>0.18360000000000001</v>
      </c>
    </row>
    <row r="289" spans="1:9" x14ac:dyDescent="0.25">
      <c r="A289" t="s">
        <v>623</v>
      </c>
      <c r="B289" t="s">
        <v>879</v>
      </c>
      <c r="C289" t="s">
        <v>879</v>
      </c>
      <c r="D289">
        <v>53732</v>
      </c>
      <c r="E289" s="120">
        <v>46388</v>
      </c>
      <c r="F289" s="121">
        <v>0.10979999999999999</v>
      </c>
      <c r="G289" s="126"/>
    </row>
    <row r="290" spans="1:9" x14ac:dyDescent="0.25">
      <c r="A290" t="s">
        <v>623</v>
      </c>
      <c r="B290" t="s">
        <v>933</v>
      </c>
      <c r="C290" t="s">
        <v>933</v>
      </c>
      <c r="D290">
        <v>18581</v>
      </c>
      <c r="E290" s="120">
        <v>46388</v>
      </c>
      <c r="F290" s="121">
        <v>0.3201</v>
      </c>
      <c r="G290" s="126"/>
    </row>
    <row r="291" spans="1:9" x14ac:dyDescent="0.25">
      <c r="A291" t="s">
        <v>623</v>
      </c>
      <c r="B291" t="s">
        <v>763</v>
      </c>
      <c r="C291" t="s">
        <v>1198</v>
      </c>
      <c r="D291">
        <v>61836</v>
      </c>
      <c r="E291" s="120">
        <v>46388</v>
      </c>
      <c r="F291" s="121">
        <v>0.248</v>
      </c>
      <c r="G291" s="126"/>
    </row>
    <row r="292" spans="1:9" x14ac:dyDescent="0.25">
      <c r="A292" t="s">
        <v>623</v>
      </c>
      <c r="B292" t="s">
        <v>880</v>
      </c>
      <c r="C292" t="s">
        <v>1173</v>
      </c>
      <c r="D292">
        <v>23371</v>
      </c>
      <c r="E292" s="120">
        <v>46388</v>
      </c>
      <c r="F292" s="121">
        <v>9.2700000000000005E-2</v>
      </c>
      <c r="G292" s="126"/>
    </row>
    <row r="293" spans="1:9" x14ac:dyDescent="0.25">
      <c r="A293" t="s">
        <v>623</v>
      </c>
      <c r="B293" t="s">
        <v>934</v>
      </c>
      <c r="C293" t="s">
        <v>934</v>
      </c>
      <c r="D293">
        <v>80473</v>
      </c>
      <c r="E293" s="120">
        <v>46388</v>
      </c>
      <c r="F293" s="121">
        <v>8.4400000000000003E-2</v>
      </c>
      <c r="G293" s="126"/>
    </row>
    <row r="294" spans="1:9" x14ac:dyDescent="0.25">
      <c r="A294" t="s">
        <v>623</v>
      </c>
      <c r="B294" t="s">
        <v>935</v>
      </c>
      <c r="C294" t="s">
        <v>1199</v>
      </c>
      <c r="D294">
        <v>38498</v>
      </c>
      <c r="E294" s="120">
        <v>46388</v>
      </c>
      <c r="F294" s="121">
        <v>0.2238</v>
      </c>
      <c r="G294" s="126"/>
    </row>
    <row r="295" spans="1:9" x14ac:dyDescent="0.25">
      <c r="A295" t="s">
        <v>623</v>
      </c>
      <c r="B295" t="s">
        <v>936</v>
      </c>
      <c r="C295" t="s">
        <v>936</v>
      </c>
      <c r="D295">
        <v>84481</v>
      </c>
      <c r="E295" s="120">
        <v>46388</v>
      </c>
      <c r="F295" s="121">
        <v>0.25769999999999998</v>
      </c>
      <c r="G295" s="126"/>
    </row>
    <row r="296" spans="1:9" x14ac:dyDescent="0.25">
      <c r="A296" t="s">
        <v>623</v>
      </c>
      <c r="B296" t="s">
        <v>937</v>
      </c>
      <c r="C296" t="s">
        <v>937</v>
      </c>
      <c r="D296">
        <v>49831</v>
      </c>
      <c r="E296" s="120">
        <v>46388</v>
      </c>
      <c r="F296" s="121">
        <v>0.24360000000000001</v>
      </c>
      <c r="G296" s="126"/>
    </row>
    <row r="297" spans="1:9" x14ac:dyDescent="0.25">
      <c r="A297" t="s">
        <v>623</v>
      </c>
      <c r="B297" t="s">
        <v>939</v>
      </c>
      <c r="C297" t="s">
        <v>1200</v>
      </c>
      <c r="D297">
        <v>71281</v>
      </c>
      <c r="E297" s="120">
        <v>46388</v>
      </c>
      <c r="F297" s="121">
        <v>0.18079999999999999</v>
      </c>
      <c r="G297" s="126"/>
    </row>
    <row r="298" spans="1:9" x14ac:dyDescent="0.25">
      <c r="A298" t="s">
        <v>623</v>
      </c>
      <c r="B298" t="s">
        <v>938</v>
      </c>
      <c r="C298" t="s">
        <v>938</v>
      </c>
      <c r="D298">
        <v>87718</v>
      </c>
      <c r="E298" s="120">
        <v>46388</v>
      </c>
      <c r="F298" s="121">
        <v>8.5999999999999993E-2</v>
      </c>
      <c r="G298" s="126"/>
    </row>
    <row r="299" spans="1:9" x14ac:dyDescent="0.25">
      <c r="A299" t="s">
        <v>623</v>
      </c>
      <c r="B299" t="s">
        <v>940</v>
      </c>
      <c r="C299" t="s">
        <v>1201</v>
      </c>
      <c r="D299">
        <v>62650</v>
      </c>
      <c r="E299" s="120">
        <v>46388</v>
      </c>
      <c r="F299" s="121">
        <v>0.24079999999999999</v>
      </c>
      <c r="G299" s="126"/>
    </row>
    <row r="300" spans="1:9" ht="15.75" thickBot="1" x14ac:dyDescent="0.3">
      <c r="A300" s="63" t="s">
        <v>623</v>
      </c>
      <c r="B300" s="63" t="s">
        <v>941</v>
      </c>
      <c r="C300" s="63" t="s">
        <v>1202</v>
      </c>
      <c r="D300" s="63">
        <v>12435</v>
      </c>
      <c r="E300" s="123">
        <v>46388</v>
      </c>
      <c r="F300" s="124">
        <v>0.13719999999999999</v>
      </c>
      <c r="G300" s="137"/>
      <c r="H300" s="63"/>
      <c r="I300" s="63"/>
    </row>
    <row r="301" spans="1:9" x14ac:dyDescent="0.25">
      <c r="A301" t="s">
        <v>652</v>
      </c>
      <c r="B301" t="s">
        <v>808</v>
      </c>
      <c r="C301" t="s">
        <v>1203</v>
      </c>
      <c r="D301">
        <v>86584</v>
      </c>
      <c r="E301" s="120">
        <v>46388</v>
      </c>
      <c r="F301" s="121">
        <v>0.24329999999999999</v>
      </c>
      <c r="G301" s="129">
        <v>0.20880000000000001</v>
      </c>
    </row>
    <row r="302" spans="1:9" x14ac:dyDescent="0.25">
      <c r="A302" t="s">
        <v>652</v>
      </c>
      <c r="B302" t="s">
        <v>944</v>
      </c>
      <c r="C302" t="s">
        <v>1204</v>
      </c>
      <c r="D302">
        <v>87416</v>
      </c>
      <c r="E302" s="120">
        <v>46388</v>
      </c>
      <c r="F302" s="121">
        <v>0.30880000000000002</v>
      </c>
      <c r="G302" s="126"/>
    </row>
    <row r="303" spans="1:9" x14ac:dyDescent="0.25">
      <c r="A303" t="s">
        <v>652</v>
      </c>
      <c r="B303" t="s">
        <v>945</v>
      </c>
      <c r="C303" t="s">
        <v>1205</v>
      </c>
      <c r="D303">
        <v>79475</v>
      </c>
      <c r="E303" s="120">
        <v>46388</v>
      </c>
      <c r="F303" s="121">
        <v>0.1648</v>
      </c>
      <c r="G303" s="126"/>
    </row>
    <row r="304" spans="1:9" x14ac:dyDescent="0.25">
      <c r="A304" t="s">
        <v>652</v>
      </c>
      <c r="B304" t="s">
        <v>946</v>
      </c>
      <c r="C304" t="s">
        <v>946</v>
      </c>
      <c r="D304">
        <v>38345</v>
      </c>
      <c r="E304" s="120">
        <v>46388</v>
      </c>
      <c r="F304" s="121">
        <v>0.19400000000000001</v>
      </c>
      <c r="G304" s="126"/>
    </row>
    <row r="305" spans="1:9" x14ac:dyDescent="0.25">
      <c r="A305" t="s">
        <v>652</v>
      </c>
      <c r="B305" t="s">
        <v>947</v>
      </c>
      <c r="C305" t="s">
        <v>947</v>
      </c>
      <c r="D305">
        <v>94529</v>
      </c>
      <c r="E305" s="120">
        <v>46388</v>
      </c>
      <c r="F305" s="121">
        <v>0.16450000000000001</v>
      </c>
      <c r="G305" s="126"/>
    </row>
    <row r="306" spans="1:9" x14ac:dyDescent="0.25">
      <c r="A306" t="s">
        <v>652</v>
      </c>
      <c r="B306" t="s">
        <v>948</v>
      </c>
      <c r="C306" t="s">
        <v>811</v>
      </c>
      <c r="D306">
        <v>20173</v>
      </c>
      <c r="E306" s="120">
        <v>46388</v>
      </c>
      <c r="F306" s="121">
        <v>0.15590000000000001</v>
      </c>
      <c r="G306" s="126"/>
    </row>
    <row r="307" spans="1:9" x14ac:dyDescent="0.25">
      <c r="A307" t="s">
        <v>652</v>
      </c>
      <c r="B307" t="s">
        <v>949</v>
      </c>
      <c r="C307" t="s">
        <v>1206</v>
      </c>
      <c r="D307">
        <v>57845</v>
      </c>
      <c r="E307" s="120">
        <v>46388</v>
      </c>
      <c r="F307" s="121">
        <v>0.24560000000000001</v>
      </c>
      <c r="G307" s="126"/>
    </row>
    <row r="308" spans="1:9" x14ac:dyDescent="0.25">
      <c r="A308" t="s">
        <v>652</v>
      </c>
      <c r="B308" t="s">
        <v>950</v>
      </c>
      <c r="C308" t="s">
        <v>756</v>
      </c>
      <c r="D308">
        <v>58326</v>
      </c>
      <c r="E308" s="120">
        <v>46388</v>
      </c>
      <c r="F308" s="121">
        <v>0.28010000000000002</v>
      </c>
      <c r="G308" s="126"/>
    </row>
    <row r="309" spans="1:9" x14ac:dyDescent="0.25">
      <c r="A309" t="s">
        <v>652</v>
      </c>
      <c r="B309" t="s">
        <v>951</v>
      </c>
      <c r="C309" t="s">
        <v>951</v>
      </c>
      <c r="D309">
        <v>81413</v>
      </c>
      <c r="E309" s="120">
        <v>46388</v>
      </c>
      <c r="F309" s="121">
        <v>0.2354</v>
      </c>
      <c r="G309" s="126"/>
    </row>
    <row r="310" spans="1:9" x14ac:dyDescent="0.25">
      <c r="A310" t="s">
        <v>652</v>
      </c>
      <c r="B310" t="s">
        <v>952</v>
      </c>
      <c r="C310" t="s">
        <v>1207</v>
      </c>
      <c r="D310">
        <v>37833</v>
      </c>
      <c r="E310" s="120">
        <v>46388</v>
      </c>
      <c r="F310" s="121">
        <v>0.16830000000000001</v>
      </c>
      <c r="G310" s="126"/>
    </row>
    <row r="311" spans="1:9" x14ac:dyDescent="0.25">
      <c r="A311" t="s">
        <v>652</v>
      </c>
      <c r="B311" t="s">
        <v>953</v>
      </c>
      <c r="C311" t="s">
        <v>1208</v>
      </c>
      <c r="D311">
        <v>38166</v>
      </c>
      <c r="E311" s="120">
        <v>46388</v>
      </c>
      <c r="F311" s="121">
        <v>0.1072</v>
      </c>
      <c r="G311" s="126"/>
    </row>
    <row r="312" spans="1:9" ht="15.75" thickBot="1" x14ac:dyDescent="0.3">
      <c r="A312" s="63" t="s">
        <v>652</v>
      </c>
      <c r="B312" s="63" t="s">
        <v>954</v>
      </c>
      <c r="C312" s="63" t="s">
        <v>1209</v>
      </c>
      <c r="D312" s="63">
        <v>80180</v>
      </c>
      <c r="E312" s="123">
        <v>46388</v>
      </c>
      <c r="F312" s="124">
        <v>0.23719999999999999</v>
      </c>
      <c r="G312" s="137"/>
      <c r="H312" s="63"/>
      <c r="I312" s="63"/>
    </row>
    <row r="313" spans="1:9" x14ac:dyDescent="0.25">
      <c r="A313" t="s">
        <v>646</v>
      </c>
      <c r="B313" t="s">
        <v>942</v>
      </c>
      <c r="C313" t="s">
        <v>942</v>
      </c>
      <c r="D313">
        <v>31274</v>
      </c>
      <c r="E313" s="120">
        <v>46388</v>
      </c>
      <c r="F313" s="121">
        <v>0.18329999999999999</v>
      </c>
      <c r="G313" s="129">
        <v>0.15959999999999999</v>
      </c>
    </row>
    <row r="314" spans="1:9" ht="15.75" thickBot="1" x14ac:dyDescent="0.3">
      <c r="A314" s="63" t="s">
        <v>646</v>
      </c>
      <c r="B314" s="63" t="s">
        <v>943</v>
      </c>
      <c r="C314" s="63" t="s">
        <v>1170</v>
      </c>
      <c r="D314" s="63">
        <v>72982</v>
      </c>
      <c r="E314" s="123">
        <v>46388</v>
      </c>
      <c r="F314" s="124">
        <v>0.13589999999999999</v>
      </c>
      <c r="G314" s="137"/>
      <c r="H314" s="63"/>
      <c r="I314" s="63"/>
    </row>
    <row r="315" spans="1:9" x14ac:dyDescent="0.25">
      <c r="A315" t="s">
        <v>677</v>
      </c>
      <c r="B315" t="s">
        <v>955</v>
      </c>
      <c r="C315" t="s">
        <v>955</v>
      </c>
      <c r="D315">
        <v>11269</v>
      </c>
      <c r="E315" s="120">
        <v>46388</v>
      </c>
      <c r="F315" s="121">
        <v>9.3100000000000002E-2</v>
      </c>
      <c r="G315" s="129">
        <v>0.17380000000000001</v>
      </c>
    </row>
    <row r="316" spans="1:9" ht="15.75" thickBot="1" x14ac:dyDescent="0.3">
      <c r="A316" s="63" t="s">
        <v>677</v>
      </c>
      <c r="B316" s="63" t="s">
        <v>956</v>
      </c>
      <c r="C316" s="63" t="s">
        <v>560</v>
      </c>
      <c r="D316" s="63">
        <v>49714</v>
      </c>
      <c r="E316" s="123">
        <v>46388</v>
      </c>
      <c r="F316" s="124">
        <v>0.25440000000000002</v>
      </c>
      <c r="G316" s="137"/>
      <c r="H316" s="63"/>
      <c r="I316" s="63"/>
    </row>
  </sheetData>
  <autoFilter ref="A1:I316" xr:uid="{E3A0B9C0-566C-47EE-8569-1C1F65DE70CE}"/>
  <mergeCells count="51">
    <mergeCell ref="G301:G312"/>
    <mergeCell ref="G313:G314"/>
    <mergeCell ref="G315:G316"/>
    <mergeCell ref="G249:G254"/>
    <mergeCell ref="G255:G271"/>
    <mergeCell ref="G272:G277"/>
    <mergeCell ref="G278:G285"/>
    <mergeCell ref="G286:G287"/>
    <mergeCell ref="G288:G300"/>
    <mergeCell ref="G213:G218"/>
    <mergeCell ref="G219:G222"/>
    <mergeCell ref="G223:G235"/>
    <mergeCell ref="G236:G237"/>
    <mergeCell ref="G238:G245"/>
    <mergeCell ref="G246:G248"/>
    <mergeCell ref="G164:G167"/>
    <mergeCell ref="G168:G173"/>
    <mergeCell ref="G174:G177"/>
    <mergeCell ref="G178:G189"/>
    <mergeCell ref="G190:G201"/>
    <mergeCell ref="G202:G212"/>
    <mergeCell ref="G137:G143"/>
    <mergeCell ref="G144:G147"/>
    <mergeCell ref="G148:G149"/>
    <mergeCell ref="G150:G154"/>
    <mergeCell ref="G155:G157"/>
    <mergeCell ref="G158:G163"/>
    <mergeCell ref="G98:G103"/>
    <mergeCell ref="G104:G111"/>
    <mergeCell ref="G112:G117"/>
    <mergeCell ref="G118:G121"/>
    <mergeCell ref="G122:G131"/>
    <mergeCell ref="G132:G136"/>
    <mergeCell ref="G67:G71"/>
    <mergeCell ref="G72:G77"/>
    <mergeCell ref="G79:G84"/>
    <mergeCell ref="G85:G88"/>
    <mergeCell ref="G89:G94"/>
    <mergeCell ref="G95:G97"/>
    <mergeCell ref="G36:G37"/>
    <mergeCell ref="G38:G40"/>
    <mergeCell ref="G41:G42"/>
    <mergeCell ref="G43:G55"/>
    <mergeCell ref="G56:G64"/>
    <mergeCell ref="G65:G66"/>
    <mergeCell ref="G2:G3"/>
    <mergeCell ref="G4:G7"/>
    <mergeCell ref="G8:G11"/>
    <mergeCell ref="G12:G18"/>
    <mergeCell ref="G19:G30"/>
    <mergeCell ref="G31:G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1AD60-BAA1-48A3-B914-2484D24BD518}">
  <sheetPr codeName="Sheet1"/>
  <dimension ref="A1:K345"/>
  <sheetViews>
    <sheetView workbookViewId="0">
      <selection activeCell="A124" sqref="A124"/>
    </sheetView>
  </sheetViews>
  <sheetFormatPr defaultRowHeight="15" x14ac:dyDescent="0.25"/>
  <cols>
    <col min="1" max="1" width="5.85546875" bestFit="1" customWidth="1"/>
    <col min="2" max="2" width="63" bestFit="1" customWidth="1"/>
    <col min="3" max="3" width="6.5703125" bestFit="1" customWidth="1"/>
    <col min="4" max="4" width="13.7109375" bestFit="1" customWidth="1"/>
    <col min="5" max="5" width="22.7109375" bestFit="1" customWidth="1"/>
    <col min="6" max="6" width="31.140625" bestFit="1" customWidth="1"/>
    <col min="7" max="7" width="17.42578125" bestFit="1" customWidth="1"/>
    <col min="8" max="8" width="20.7109375" bestFit="1" customWidth="1"/>
    <col min="9" max="9" width="15.85546875" bestFit="1" customWidth="1"/>
  </cols>
  <sheetData>
    <row r="1" spans="1:11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5"/>
      <c r="K1" s="15"/>
    </row>
    <row r="2" spans="1:11" x14ac:dyDescent="0.25">
      <c r="A2" s="4" t="s">
        <v>9</v>
      </c>
      <c r="B2" s="5" t="s">
        <v>10</v>
      </c>
      <c r="C2" s="14">
        <v>46944</v>
      </c>
      <c r="D2" s="6">
        <v>46023</v>
      </c>
      <c r="E2" s="7">
        <v>0.1933</v>
      </c>
      <c r="F2" s="113">
        <v>0.2276</v>
      </c>
      <c r="G2" s="8">
        <v>0.2</v>
      </c>
      <c r="H2" s="4" t="s">
        <v>11</v>
      </c>
      <c r="I2" s="5" t="s">
        <v>12</v>
      </c>
      <c r="J2" s="15"/>
      <c r="K2" s="15"/>
    </row>
    <row r="3" spans="1:11" x14ac:dyDescent="0.25">
      <c r="A3" s="4" t="s">
        <v>9</v>
      </c>
      <c r="B3" s="5" t="s">
        <v>13</v>
      </c>
      <c r="C3" s="5">
        <v>53932</v>
      </c>
      <c r="D3" s="6">
        <v>46023</v>
      </c>
      <c r="E3" s="7">
        <v>0.28960000000000002</v>
      </c>
      <c r="F3" s="105"/>
      <c r="G3" s="8">
        <v>0.24959999999999999</v>
      </c>
      <c r="H3" s="4" t="s">
        <v>14</v>
      </c>
      <c r="I3" s="5" t="s">
        <v>12</v>
      </c>
      <c r="J3" s="15"/>
      <c r="K3" s="15"/>
    </row>
    <row r="4" spans="1:11" ht="15.75" thickBot="1" x14ac:dyDescent="0.3">
      <c r="A4" s="9" t="s">
        <v>9</v>
      </c>
      <c r="B4" s="10" t="s">
        <v>15</v>
      </c>
      <c r="C4" s="16">
        <v>69461</v>
      </c>
      <c r="D4" s="11">
        <v>46023</v>
      </c>
      <c r="E4" s="12">
        <v>0.19989999999999999</v>
      </c>
      <c r="F4" s="106"/>
      <c r="G4" s="13">
        <v>0.20080000000000001</v>
      </c>
      <c r="H4" s="9" t="s">
        <v>16</v>
      </c>
      <c r="I4" s="10" t="s">
        <v>12</v>
      </c>
      <c r="J4" s="15"/>
      <c r="K4" s="15"/>
    </row>
    <row r="5" spans="1:11" x14ac:dyDescent="0.25">
      <c r="A5" s="4" t="s">
        <v>17</v>
      </c>
      <c r="B5" s="5" t="s">
        <v>18</v>
      </c>
      <c r="C5" s="15">
        <v>73836</v>
      </c>
      <c r="D5" s="6">
        <v>46023</v>
      </c>
      <c r="E5" s="7">
        <v>1.8E-3</v>
      </c>
      <c r="F5" s="107">
        <v>0</v>
      </c>
      <c r="G5" s="8">
        <v>1.23E-2</v>
      </c>
      <c r="H5" s="4" t="s">
        <v>19</v>
      </c>
      <c r="I5" s="5" t="s">
        <v>12</v>
      </c>
      <c r="J5" s="15"/>
      <c r="K5" s="15"/>
    </row>
    <row r="6" spans="1:11" ht="15.75" thickBot="1" x14ac:dyDescent="0.3">
      <c r="A6" s="9" t="s">
        <v>17</v>
      </c>
      <c r="B6" s="10" t="s">
        <v>20</v>
      </c>
      <c r="C6" s="15">
        <v>38344</v>
      </c>
      <c r="D6" s="11">
        <v>46023</v>
      </c>
      <c r="E6" s="12">
        <v>-6.3E-3</v>
      </c>
      <c r="F6" s="106"/>
      <c r="G6" s="13">
        <v>-3.4000000000000002E-2</v>
      </c>
      <c r="H6" s="9" t="s">
        <v>21</v>
      </c>
      <c r="I6" s="10" t="s">
        <v>12</v>
      </c>
      <c r="J6" s="15"/>
      <c r="K6" s="15"/>
    </row>
    <row r="7" spans="1:11" x14ac:dyDescent="0.25">
      <c r="A7" s="4" t="s">
        <v>22</v>
      </c>
      <c r="B7" s="5" t="s">
        <v>23</v>
      </c>
      <c r="C7" s="14">
        <v>68445</v>
      </c>
      <c r="D7" s="6">
        <v>46023</v>
      </c>
      <c r="E7" s="7">
        <v>6.5100000000000005E-2</v>
      </c>
      <c r="F7" s="107">
        <v>0.26879999999999998</v>
      </c>
      <c r="G7" s="17">
        <v>0.18029999999999999</v>
      </c>
      <c r="H7" s="4" t="s">
        <v>24</v>
      </c>
      <c r="I7" s="5" t="s">
        <v>12</v>
      </c>
      <c r="J7" s="15"/>
      <c r="K7" s="15"/>
    </row>
    <row r="8" spans="1:11" x14ac:dyDescent="0.25">
      <c r="A8" s="4" t="s">
        <v>22</v>
      </c>
      <c r="B8" s="5" t="s">
        <v>25</v>
      </c>
      <c r="C8" s="18">
        <v>91450</v>
      </c>
      <c r="D8" s="6">
        <v>46023</v>
      </c>
      <c r="E8" s="7">
        <v>0.48949999999999999</v>
      </c>
      <c r="F8" s="105"/>
      <c r="G8" s="8">
        <v>0.48949999999999999</v>
      </c>
      <c r="H8" s="4" t="s">
        <v>26</v>
      </c>
      <c r="I8" s="5" t="s">
        <v>12</v>
      </c>
      <c r="J8" s="15"/>
      <c r="K8" s="15"/>
    </row>
    <row r="9" spans="1:11" x14ac:dyDescent="0.25">
      <c r="A9" s="4" t="s">
        <v>22</v>
      </c>
      <c r="B9" s="5" t="s">
        <v>27</v>
      </c>
      <c r="C9" s="5">
        <v>53901</v>
      </c>
      <c r="D9" s="6">
        <v>46023</v>
      </c>
      <c r="E9" s="7">
        <v>0.29880000000000001</v>
      </c>
      <c r="F9" s="105"/>
      <c r="G9" s="17">
        <v>0.4869</v>
      </c>
      <c r="H9" s="4" t="s">
        <v>28</v>
      </c>
      <c r="I9" s="5" t="s">
        <v>12</v>
      </c>
      <c r="J9" s="15"/>
      <c r="K9" s="15"/>
    </row>
    <row r="10" spans="1:11" x14ac:dyDescent="0.25">
      <c r="A10" s="4" t="s">
        <v>22</v>
      </c>
      <c r="B10" s="5" t="s">
        <v>29</v>
      </c>
      <c r="C10" s="5">
        <v>97667</v>
      </c>
      <c r="D10" s="6">
        <v>46023</v>
      </c>
      <c r="E10" s="7">
        <v>0.33019999999999999</v>
      </c>
      <c r="F10" s="105"/>
      <c r="G10" s="8">
        <v>0.33789999999999998</v>
      </c>
      <c r="H10" s="4" t="s">
        <v>30</v>
      </c>
      <c r="I10" s="5" t="s">
        <v>12</v>
      </c>
      <c r="J10" s="15"/>
      <c r="K10" s="15"/>
    </row>
    <row r="11" spans="1:11" x14ac:dyDescent="0.25">
      <c r="A11" s="4" t="s">
        <v>22</v>
      </c>
      <c r="B11" s="5" t="s">
        <v>31</v>
      </c>
      <c r="C11" s="5">
        <v>85533</v>
      </c>
      <c r="D11" s="6">
        <v>46023</v>
      </c>
      <c r="E11" s="7">
        <v>9.5600000000000004E-2</v>
      </c>
      <c r="F11" s="105"/>
      <c r="G11" s="17">
        <v>0.193</v>
      </c>
      <c r="H11" s="4" t="s">
        <v>32</v>
      </c>
      <c r="I11" s="5" t="s">
        <v>12</v>
      </c>
      <c r="J11" s="15"/>
      <c r="K11" s="15"/>
    </row>
    <row r="12" spans="1:11" x14ac:dyDescent="0.25">
      <c r="A12" s="4" t="s">
        <v>22</v>
      </c>
      <c r="B12" s="5" t="s">
        <v>33</v>
      </c>
      <c r="C12" s="5">
        <v>13877</v>
      </c>
      <c r="D12" s="6">
        <v>46023</v>
      </c>
      <c r="E12" s="7">
        <v>0.16600000000000001</v>
      </c>
      <c r="F12" s="105"/>
      <c r="G12" s="17">
        <v>0.26140000000000002</v>
      </c>
      <c r="H12" s="4" t="s">
        <v>34</v>
      </c>
      <c r="I12" s="5" t="s">
        <v>12</v>
      </c>
      <c r="J12" s="15"/>
      <c r="K12" s="15"/>
    </row>
    <row r="13" spans="1:11" ht="15.75" thickBot="1" x14ac:dyDescent="0.3">
      <c r="A13" s="9" t="s">
        <v>22</v>
      </c>
      <c r="B13" s="10" t="s">
        <v>35</v>
      </c>
      <c r="C13" s="5">
        <v>40702</v>
      </c>
      <c r="D13" s="11">
        <v>46023</v>
      </c>
      <c r="E13" s="12">
        <v>0.43669999999999998</v>
      </c>
      <c r="F13" s="106"/>
      <c r="G13" s="13">
        <v>0.44280000000000003</v>
      </c>
      <c r="H13" s="9" t="s">
        <v>36</v>
      </c>
      <c r="I13" s="10" t="s">
        <v>12</v>
      </c>
      <c r="J13" s="15"/>
      <c r="K13" s="15"/>
    </row>
    <row r="14" spans="1:11" x14ac:dyDescent="0.25">
      <c r="A14" s="4" t="s">
        <v>37</v>
      </c>
      <c r="B14" s="5" t="s">
        <v>13</v>
      </c>
      <c r="C14" s="14">
        <v>62141</v>
      </c>
      <c r="D14" s="6">
        <v>46023</v>
      </c>
      <c r="E14" s="7">
        <v>0.42509999999999998</v>
      </c>
      <c r="F14" s="107">
        <v>0.502</v>
      </c>
      <c r="G14" s="8">
        <v>0.29060000000000002</v>
      </c>
      <c r="H14" s="4" t="s">
        <v>38</v>
      </c>
      <c r="I14" s="5" t="s">
        <v>12</v>
      </c>
      <c r="J14" s="15"/>
      <c r="K14" s="15"/>
    </row>
    <row r="15" spans="1:11" x14ac:dyDescent="0.25">
      <c r="A15" s="4" t="s">
        <v>37</v>
      </c>
      <c r="B15" s="5" t="s">
        <v>39</v>
      </c>
      <c r="C15" s="5">
        <v>13262</v>
      </c>
      <c r="D15" s="6">
        <v>46023</v>
      </c>
      <c r="E15" s="4" t="s">
        <v>40</v>
      </c>
      <c r="F15" s="105"/>
      <c r="G15" s="8">
        <v>0.1232</v>
      </c>
      <c r="H15" s="4" t="s">
        <v>41</v>
      </c>
      <c r="I15" s="5" t="s">
        <v>12</v>
      </c>
      <c r="J15" s="15"/>
      <c r="K15" s="15"/>
    </row>
    <row r="16" spans="1:11" x14ac:dyDescent="0.25">
      <c r="A16" s="4" t="s">
        <v>37</v>
      </c>
      <c r="B16" s="5" t="s">
        <v>42</v>
      </c>
      <c r="C16" s="5">
        <v>70525</v>
      </c>
      <c r="D16" s="6">
        <v>46023</v>
      </c>
      <c r="E16" s="7">
        <v>0.54210000000000003</v>
      </c>
      <c r="F16" s="105"/>
      <c r="G16" s="8">
        <v>0.34989999999999999</v>
      </c>
      <c r="H16" s="4" t="s">
        <v>43</v>
      </c>
      <c r="I16" s="5" t="s">
        <v>12</v>
      </c>
      <c r="J16" s="15"/>
      <c r="K16" s="15"/>
    </row>
    <row r="17" spans="1:11" x14ac:dyDescent="0.25">
      <c r="A17" s="4" t="s">
        <v>37</v>
      </c>
      <c r="B17" s="5" t="s">
        <v>44</v>
      </c>
      <c r="C17" s="5">
        <v>37903</v>
      </c>
      <c r="D17" s="6">
        <v>46023</v>
      </c>
      <c r="E17" s="7">
        <v>0.54410000000000003</v>
      </c>
      <c r="F17" s="105"/>
      <c r="G17" s="8">
        <v>0.41899999999999998</v>
      </c>
      <c r="H17" s="4" t="s">
        <v>45</v>
      </c>
      <c r="I17" s="5" t="s">
        <v>12</v>
      </c>
      <c r="J17" s="15"/>
      <c r="K17" s="15"/>
    </row>
    <row r="18" spans="1:11" x14ac:dyDescent="0.25">
      <c r="A18" s="4" t="s">
        <v>37</v>
      </c>
      <c r="B18" s="5" t="s">
        <v>46</v>
      </c>
      <c r="C18" s="18">
        <v>48772</v>
      </c>
      <c r="D18" s="6">
        <v>46023</v>
      </c>
      <c r="E18" s="7">
        <v>0.44440000000000002</v>
      </c>
      <c r="F18" s="105"/>
      <c r="G18" s="8">
        <v>0.2056</v>
      </c>
      <c r="H18" s="4" t="s">
        <v>47</v>
      </c>
      <c r="I18" s="5" t="s">
        <v>12</v>
      </c>
      <c r="J18" s="15"/>
      <c r="K18" s="15"/>
    </row>
    <row r="19" spans="1:11" ht="15.75" thickBot="1" x14ac:dyDescent="0.3">
      <c r="A19" s="9" t="s">
        <v>37</v>
      </c>
      <c r="B19" s="10" t="s">
        <v>48</v>
      </c>
      <c r="C19" s="10">
        <v>75293</v>
      </c>
      <c r="D19" s="11">
        <v>46023</v>
      </c>
      <c r="E19" s="12">
        <v>0.55430000000000001</v>
      </c>
      <c r="F19" s="106"/>
      <c r="G19" s="13">
        <v>0.16850000000000001</v>
      </c>
      <c r="H19" s="9" t="s">
        <v>49</v>
      </c>
      <c r="I19" s="10" t="s">
        <v>12</v>
      </c>
      <c r="J19" s="19"/>
      <c r="K19" s="19"/>
    </row>
    <row r="20" spans="1:11" ht="15.75" x14ac:dyDescent="0.25">
      <c r="A20" s="4" t="s">
        <v>50</v>
      </c>
      <c r="B20" s="20" t="s">
        <v>51</v>
      </c>
      <c r="C20" s="5">
        <v>27603</v>
      </c>
      <c r="D20" s="21">
        <v>46023</v>
      </c>
      <c r="E20" s="7">
        <v>0.14710000000000001</v>
      </c>
      <c r="F20" s="107">
        <v>0.1333</v>
      </c>
      <c r="G20" s="8">
        <v>0.14710000000000001</v>
      </c>
      <c r="H20" s="22" t="s">
        <v>52</v>
      </c>
      <c r="I20" s="5" t="s">
        <v>12</v>
      </c>
      <c r="J20" s="15"/>
      <c r="K20" s="15"/>
    </row>
    <row r="21" spans="1:11" x14ac:dyDescent="0.25">
      <c r="A21" s="4" t="s">
        <v>50</v>
      </c>
      <c r="B21" s="20" t="s">
        <v>53</v>
      </c>
      <c r="C21" s="5">
        <v>70285</v>
      </c>
      <c r="D21" s="21">
        <v>46023</v>
      </c>
      <c r="E21" s="7">
        <v>9.2999999999999999E-2</v>
      </c>
      <c r="F21" s="105"/>
      <c r="G21" s="8">
        <v>9.2999999999999999E-2</v>
      </c>
      <c r="H21" s="4" t="s">
        <v>54</v>
      </c>
      <c r="I21" s="5" t="s">
        <v>12</v>
      </c>
      <c r="J21" s="15"/>
      <c r="K21" s="15"/>
    </row>
    <row r="22" spans="1:11" ht="15.75" x14ac:dyDescent="0.25">
      <c r="A22" s="4" t="s">
        <v>50</v>
      </c>
      <c r="B22" s="20" t="s">
        <v>55</v>
      </c>
      <c r="C22" s="5">
        <v>47579</v>
      </c>
      <c r="D22" s="21">
        <v>46023</v>
      </c>
      <c r="E22" s="7">
        <v>9.2100000000000001E-2</v>
      </c>
      <c r="F22" s="105"/>
      <c r="G22" s="8">
        <v>9.2100000000000001E-2</v>
      </c>
      <c r="H22" s="22" t="s">
        <v>56</v>
      </c>
      <c r="I22" s="5" t="s">
        <v>12</v>
      </c>
      <c r="J22" s="15"/>
      <c r="K22" s="15"/>
    </row>
    <row r="23" spans="1:11" ht="15.75" x14ac:dyDescent="0.25">
      <c r="A23" s="4" t="s">
        <v>50</v>
      </c>
      <c r="B23" s="20" t="s">
        <v>57</v>
      </c>
      <c r="C23" s="5">
        <v>84014</v>
      </c>
      <c r="D23" s="21">
        <v>46023</v>
      </c>
      <c r="E23" s="7">
        <v>0.20300000000000001</v>
      </c>
      <c r="F23" s="105"/>
      <c r="G23" s="8">
        <v>0.20300000000000001</v>
      </c>
      <c r="H23" s="22" t="s">
        <v>58</v>
      </c>
      <c r="I23" s="5" t="s">
        <v>12</v>
      </c>
      <c r="J23" s="15"/>
      <c r="K23" s="15"/>
    </row>
    <row r="24" spans="1:11" x14ac:dyDescent="0.25">
      <c r="A24" s="4" t="s">
        <v>50</v>
      </c>
      <c r="B24" s="20" t="s">
        <v>59</v>
      </c>
      <c r="C24" s="5">
        <v>67138</v>
      </c>
      <c r="D24" s="21">
        <v>46023</v>
      </c>
      <c r="E24" s="7">
        <v>0.14779999999999999</v>
      </c>
      <c r="F24" s="105"/>
      <c r="G24" s="8">
        <v>0.14779999999999999</v>
      </c>
      <c r="H24" s="4" t="s">
        <v>60</v>
      </c>
      <c r="I24" s="5" t="s">
        <v>12</v>
      </c>
      <c r="J24" s="15"/>
      <c r="K24" s="15"/>
    </row>
    <row r="25" spans="1:11" x14ac:dyDescent="0.25">
      <c r="A25" s="4" t="s">
        <v>50</v>
      </c>
      <c r="B25" s="20" t="s">
        <v>61</v>
      </c>
      <c r="C25" s="5">
        <v>51396</v>
      </c>
      <c r="D25" s="21">
        <v>46023</v>
      </c>
      <c r="E25" s="7">
        <v>0.17910000000000001</v>
      </c>
      <c r="F25" s="105"/>
      <c r="G25" s="8">
        <v>0.17910000000000001</v>
      </c>
      <c r="H25" s="4" t="s">
        <v>62</v>
      </c>
      <c r="I25" s="5" t="s">
        <v>12</v>
      </c>
      <c r="J25" s="15"/>
      <c r="K25" s="15"/>
    </row>
    <row r="26" spans="1:11" x14ac:dyDescent="0.25">
      <c r="A26" s="4" t="s">
        <v>50</v>
      </c>
      <c r="B26" s="5" t="s">
        <v>63</v>
      </c>
      <c r="C26" s="5">
        <v>40513</v>
      </c>
      <c r="D26" s="21">
        <v>46023</v>
      </c>
      <c r="E26" s="7">
        <v>7.2300000000000003E-2</v>
      </c>
      <c r="F26" s="105"/>
      <c r="G26" s="8">
        <v>7.2300000000000003E-2</v>
      </c>
      <c r="H26" s="4" t="s">
        <v>64</v>
      </c>
      <c r="I26" s="5" t="s">
        <v>12</v>
      </c>
      <c r="J26" s="15"/>
      <c r="K26" s="15"/>
    </row>
    <row r="27" spans="1:11" ht="30" x14ac:dyDescent="0.25">
      <c r="A27" s="4" t="s">
        <v>50</v>
      </c>
      <c r="B27" s="24" t="s">
        <v>65</v>
      </c>
      <c r="C27" s="5">
        <v>92815</v>
      </c>
      <c r="D27" s="21">
        <v>46023</v>
      </c>
      <c r="E27" s="25">
        <v>0.1094</v>
      </c>
      <c r="F27" s="105"/>
      <c r="G27" s="26">
        <v>0.1094</v>
      </c>
      <c r="H27" s="27" t="s">
        <v>66</v>
      </c>
      <c r="I27" s="28" t="s">
        <v>12</v>
      </c>
      <c r="J27" s="15"/>
      <c r="K27" s="15"/>
    </row>
    <row r="28" spans="1:11" x14ac:dyDescent="0.25">
      <c r="A28" s="4" t="s">
        <v>50</v>
      </c>
      <c r="B28" s="20" t="s">
        <v>67</v>
      </c>
      <c r="C28" s="5">
        <v>18126</v>
      </c>
      <c r="D28" s="21">
        <v>46023</v>
      </c>
      <c r="E28" s="7">
        <v>0.1457</v>
      </c>
      <c r="F28" s="105"/>
      <c r="G28" s="8">
        <v>0.1457</v>
      </c>
      <c r="H28" s="4" t="s">
        <v>68</v>
      </c>
      <c r="I28" s="5" t="s">
        <v>12</v>
      </c>
      <c r="J28" s="15"/>
      <c r="K28" s="15"/>
    </row>
    <row r="29" spans="1:11" x14ac:dyDescent="0.25">
      <c r="A29" s="4" t="s">
        <v>50</v>
      </c>
      <c r="B29" s="20" t="s">
        <v>69</v>
      </c>
      <c r="C29" s="5">
        <v>92499</v>
      </c>
      <c r="D29" s="21">
        <v>46023</v>
      </c>
      <c r="E29" s="7">
        <v>8.7800000000000003E-2</v>
      </c>
      <c r="F29" s="105"/>
      <c r="G29" s="8">
        <v>8.7800000000000003E-2</v>
      </c>
      <c r="H29" s="4" t="s">
        <v>70</v>
      </c>
      <c r="I29" s="5" t="s">
        <v>12</v>
      </c>
      <c r="J29" s="15"/>
      <c r="K29" s="15"/>
    </row>
    <row r="30" spans="1:11" x14ac:dyDescent="0.25">
      <c r="A30" s="4" t="s">
        <v>50</v>
      </c>
      <c r="B30" s="20" t="s">
        <v>71</v>
      </c>
      <c r="C30" s="5">
        <v>64210</v>
      </c>
      <c r="D30" s="21">
        <v>46023</v>
      </c>
      <c r="E30" s="7">
        <v>0.1822</v>
      </c>
      <c r="F30" s="105"/>
      <c r="G30" s="8">
        <v>0.1822</v>
      </c>
      <c r="H30" s="4" t="s">
        <v>72</v>
      </c>
      <c r="I30" s="5" t="s">
        <v>12</v>
      </c>
      <c r="J30" s="15"/>
      <c r="K30" s="15"/>
    </row>
    <row r="31" spans="1:11" ht="15.75" thickBot="1" x14ac:dyDescent="0.3">
      <c r="A31" s="9" t="s">
        <v>50</v>
      </c>
      <c r="B31" s="29" t="s">
        <v>73</v>
      </c>
      <c r="C31" s="10">
        <v>93689</v>
      </c>
      <c r="D31" s="30">
        <v>46023</v>
      </c>
      <c r="E31" s="12">
        <v>0.1406</v>
      </c>
      <c r="F31" s="105"/>
      <c r="G31" s="13">
        <v>0.1406</v>
      </c>
      <c r="H31" s="9" t="s">
        <v>74</v>
      </c>
      <c r="I31" s="10" t="s">
        <v>12</v>
      </c>
      <c r="J31" s="19"/>
      <c r="K31" s="19"/>
    </row>
    <row r="32" spans="1:11" x14ac:dyDescent="0.25">
      <c r="A32" s="4" t="s">
        <v>75</v>
      </c>
      <c r="B32" s="24" t="s">
        <v>76</v>
      </c>
      <c r="C32" s="5">
        <v>49375</v>
      </c>
      <c r="D32" s="31">
        <v>46023</v>
      </c>
      <c r="E32" s="32">
        <v>0.29189999999999999</v>
      </c>
      <c r="F32" s="114">
        <v>0.26429999999999998</v>
      </c>
      <c r="G32" s="33">
        <v>0.2631</v>
      </c>
      <c r="H32" s="35" t="s">
        <v>77</v>
      </c>
      <c r="I32" s="5" t="s">
        <v>12</v>
      </c>
      <c r="J32" s="15"/>
      <c r="K32" s="15"/>
    </row>
    <row r="33" spans="1:11" x14ac:dyDescent="0.25">
      <c r="A33" s="4" t="s">
        <v>75</v>
      </c>
      <c r="B33" s="24" t="s">
        <v>78</v>
      </c>
      <c r="C33" s="23">
        <v>66699</v>
      </c>
      <c r="D33" s="31">
        <v>46023</v>
      </c>
      <c r="E33" s="32">
        <v>0.23799999999999999</v>
      </c>
      <c r="F33" s="114"/>
      <c r="G33" s="33">
        <v>0.16880000000000001</v>
      </c>
      <c r="H33" s="35" t="s">
        <v>79</v>
      </c>
      <c r="I33" s="5" t="s">
        <v>12</v>
      </c>
      <c r="J33" s="15"/>
      <c r="K33" s="15"/>
    </row>
    <row r="34" spans="1:11" x14ac:dyDescent="0.25">
      <c r="A34" s="4" t="s">
        <v>75</v>
      </c>
      <c r="B34" s="24" t="s">
        <v>80</v>
      </c>
      <c r="C34" s="23">
        <v>76680</v>
      </c>
      <c r="D34" s="31">
        <v>46023</v>
      </c>
      <c r="E34" s="36">
        <v>0.34050000000000002</v>
      </c>
      <c r="F34" s="114"/>
      <c r="G34" s="33">
        <v>0.23949999999999999</v>
      </c>
      <c r="H34" s="34" t="s">
        <v>81</v>
      </c>
      <c r="I34" s="5" t="s">
        <v>12</v>
      </c>
      <c r="J34" s="15"/>
      <c r="K34" s="15"/>
    </row>
    <row r="35" spans="1:11" x14ac:dyDescent="0.25">
      <c r="A35" s="4" t="s">
        <v>75</v>
      </c>
      <c r="B35" s="24" t="s">
        <v>82</v>
      </c>
      <c r="C35" s="23">
        <v>21032</v>
      </c>
      <c r="D35" s="31">
        <v>46023</v>
      </c>
      <c r="E35" s="36">
        <v>0.15110000000000001</v>
      </c>
      <c r="F35" s="114"/>
      <c r="G35" s="33">
        <v>0.14580000000000001</v>
      </c>
      <c r="H35" s="34" t="s">
        <v>83</v>
      </c>
      <c r="I35" s="5" t="s">
        <v>12</v>
      </c>
      <c r="J35" s="15"/>
      <c r="K35" s="15"/>
    </row>
    <row r="36" spans="1:11" x14ac:dyDescent="0.25">
      <c r="A36" s="4" t="s">
        <v>75</v>
      </c>
      <c r="B36" s="24" t="s">
        <v>84</v>
      </c>
      <c r="C36" s="23">
        <v>97879</v>
      </c>
      <c r="D36" s="31">
        <v>46023</v>
      </c>
      <c r="E36" s="36">
        <v>0.36840000000000001</v>
      </c>
      <c r="F36" s="114"/>
      <c r="G36" s="33">
        <v>0.33019999999999999</v>
      </c>
      <c r="H36" s="34" t="s">
        <v>85</v>
      </c>
      <c r="I36" s="5" t="s">
        <v>12</v>
      </c>
      <c r="J36" s="15"/>
      <c r="K36" s="15"/>
    </row>
    <row r="37" spans="1:11" ht="15.75" thickBot="1" x14ac:dyDescent="0.3">
      <c r="A37" s="37" t="s">
        <v>75</v>
      </c>
      <c r="B37" s="38" t="s">
        <v>86</v>
      </c>
      <c r="C37" s="39">
        <v>55584</v>
      </c>
      <c r="D37" s="40">
        <v>46023</v>
      </c>
      <c r="E37" s="41">
        <v>0.1961</v>
      </c>
      <c r="F37" s="115"/>
      <c r="G37" s="42">
        <v>0.13489999999999999</v>
      </c>
      <c r="H37" s="43" t="s">
        <v>87</v>
      </c>
      <c r="I37" s="44" t="s">
        <v>12</v>
      </c>
      <c r="J37" s="45"/>
      <c r="K37" s="45"/>
    </row>
    <row r="38" spans="1:11" ht="15.75" thickTop="1" x14ac:dyDescent="0.25">
      <c r="A38" s="4" t="s">
        <v>88</v>
      </c>
      <c r="B38" s="23" t="s">
        <v>89</v>
      </c>
      <c r="C38" s="23">
        <v>86545</v>
      </c>
      <c r="D38" s="31">
        <v>46023</v>
      </c>
      <c r="E38" s="36">
        <v>0.14149999999999999</v>
      </c>
      <c r="F38" s="116">
        <v>0.1696</v>
      </c>
      <c r="G38" s="33">
        <v>0.13569999999999999</v>
      </c>
      <c r="H38" s="46" t="s">
        <v>90</v>
      </c>
      <c r="I38" s="5" t="s">
        <v>12</v>
      </c>
      <c r="J38" s="15"/>
      <c r="K38" s="15"/>
    </row>
    <row r="39" spans="1:11" x14ac:dyDescent="0.25">
      <c r="A39" s="4" t="s">
        <v>88</v>
      </c>
      <c r="B39" s="15" t="s">
        <v>91</v>
      </c>
      <c r="C39" s="47">
        <v>76962</v>
      </c>
      <c r="D39" s="48">
        <v>46023</v>
      </c>
      <c r="E39" s="36">
        <v>0.21740000000000001</v>
      </c>
      <c r="F39" s="117"/>
      <c r="G39" s="33">
        <v>0.2059</v>
      </c>
      <c r="H39" s="46" t="s">
        <v>92</v>
      </c>
      <c r="I39" s="5" t="s">
        <v>12</v>
      </c>
      <c r="J39" s="15"/>
      <c r="K39" s="15"/>
    </row>
    <row r="40" spans="1:11" x14ac:dyDescent="0.25">
      <c r="A40" s="4" t="s">
        <v>88</v>
      </c>
      <c r="B40" s="15" t="s">
        <v>93</v>
      </c>
      <c r="C40" s="47">
        <v>75091</v>
      </c>
      <c r="D40" s="48">
        <v>46023</v>
      </c>
      <c r="E40" s="36">
        <v>5.8900000000000001E-2</v>
      </c>
      <c r="F40" s="117"/>
      <c r="G40" s="33">
        <v>7.6700000000000004E-2</v>
      </c>
      <c r="H40" s="46" t="s">
        <v>94</v>
      </c>
      <c r="I40" s="5" t="s">
        <v>12</v>
      </c>
      <c r="J40" s="15"/>
      <c r="K40" s="15"/>
    </row>
    <row r="41" spans="1:11" ht="15.75" thickBot="1" x14ac:dyDescent="0.3">
      <c r="A41" s="9" t="s">
        <v>88</v>
      </c>
      <c r="B41" s="49" t="s">
        <v>95</v>
      </c>
      <c r="C41" s="39">
        <v>94815</v>
      </c>
      <c r="D41" s="40">
        <v>46023</v>
      </c>
      <c r="E41" s="12">
        <v>0.2606</v>
      </c>
      <c r="F41" s="118"/>
      <c r="G41" s="13">
        <v>0.20280000000000001</v>
      </c>
      <c r="H41" s="9" t="s">
        <v>96</v>
      </c>
      <c r="I41" s="10" t="s">
        <v>12</v>
      </c>
      <c r="J41" s="5"/>
      <c r="K41" s="5"/>
    </row>
    <row r="42" spans="1:11" x14ac:dyDescent="0.25">
      <c r="A42" s="4" t="s">
        <v>97</v>
      </c>
      <c r="B42" s="5" t="s">
        <v>98</v>
      </c>
      <c r="C42" s="5">
        <v>72760</v>
      </c>
      <c r="D42" s="6">
        <v>46023</v>
      </c>
      <c r="E42" s="7">
        <v>0.46200000000000002</v>
      </c>
      <c r="F42" s="107">
        <v>0.36030000000000001</v>
      </c>
      <c r="G42" s="8">
        <v>0.3498</v>
      </c>
      <c r="H42" s="4" t="s">
        <v>99</v>
      </c>
      <c r="I42" s="5" t="s">
        <v>12</v>
      </c>
      <c r="J42" s="15"/>
      <c r="K42" s="15"/>
    </row>
    <row r="43" spans="1:11" x14ac:dyDescent="0.25">
      <c r="A43" s="4" t="s">
        <v>97</v>
      </c>
      <c r="B43" s="5" t="s">
        <v>13</v>
      </c>
      <c r="C43" s="5">
        <v>64004</v>
      </c>
      <c r="D43" s="6">
        <v>46023</v>
      </c>
      <c r="E43" s="7">
        <v>0.31769999999999998</v>
      </c>
      <c r="F43" s="105"/>
      <c r="G43" s="8">
        <v>0.318</v>
      </c>
      <c r="H43" s="4" t="s">
        <v>100</v>
      </c>
      <c r="I43" s="5" t="s">
        <v>12</v>
      </c>
      <c r="J43" s="15"/>
      <c r="K43" s="15"/>
    </row>
    <row r="44" spans="1:11" ht="15.75" thickBot="1" x14ac:dyDescent="0.3">
      <c r="A44" s="9" t="s">
        <v>97</v>
      </c>
      <c r="B44" s="10" t="s">
        <v>101</v>
      </c>
      <c r="C44" s="10">
        <v>76168</v>
      </c>
      <c r="D44" s="11">
        <v>46023</v>
      </c>
      <c r="E44" s="12">
        <v>0.30130000000000001</v>
      </c>
      <c r="F44" s="106"/>
      <c r="G44" s="13">
        <v>0.26700000000000002</v>
      </c>
      <c r="H44" s="9" t="s">
        <v>102</v>
      </c>
      <c r="I44" s="10" t="s">
        <v>12</v>
      </c>
      <c r="J44" s="15"/>
      <c r="K44" s="15"/>
    </row>
    <row r="45" spans="1:11" x14ac:dyDescent="0.25">
      <c r="A45" s="4" t="s">
        <v>103</v>
      </c>
      <c r="B45" s="5" t="s">
        <v>104</v>
      </c>
      <c r="C45" s="5">
        <v>86052</v>
      </c>
      <c r="D45" s="6">
        <v>46023</v>
      </c>
      <c r="E45" s="7">
        <v>4.1300000000000003E-2</v>
      </c>
      <c r="F45" s="107">
        <v>9.8400000000000001E-2</v>
      </c>
      <c r="G45" s="8">
        <v>4.1399999999999999E-2</v>
      </c>
      <c r="H45" s="4" t="s">
        <v>105</v>
      </c>
      <c r="I45" s="5" t="s">
        <v>12</v>
      </c>
      <c r="J45" s="15"/>
      <c r="K45" s="15"/>
    </row>
    <row r="46" spans="1:11" x14ac:dyDescent="0.25">
      <c r="A46" s="4" t="s">
        <v>103</v>
      </c>
      <c r="B46" s="5" t="s">
        <v>106</v>
      </c>
      <c r="C46" s="5">
        <v>78079</v>
      </c>
      <c r="D46" s="6">
        <v>46023</v>
      </c>
      <c r="E46" s="7">
        <v>0.12529999999999999</v>
      </c>
      <c r="F46" s="105"/>
      <c r="G46" s="8">
        <v>9.8900000000000002E-2</v>
      </c>
      <c r="H46" s="4" t="s">
        <v>107</v>
      </c>
      <c r="I46" s="5" t="s">
        <v>12</v>
      </c>
      <c r="J46" s="15"/>
      <c r="K46" s="15"/>
    </row>
    <row r="47" spans="1:11" ht="15.75" thickBot="1" x14ac:dyDescent="0.3">
      <c r="A47" s="9" t="s">
        <v>103</v>
      </c>
      <c r="B47" s="10" t="s">
        <v>108</v>
      </c>
      <c r="C47" s="10">
        <v>94506</v>
      </c>
      <c r="D47" s="11">
        <v>46023</v>
      </c>
      <c r="E47" s="12">
        <v>0.12870000000000001</v>
      </c>
      <c r="F47" s="106"/>
      <c r="G47" s="13">
        <v>0.09</v>
      </c>
      <c r="H47" s="9" t="s">
        <v>109</v>
      </c>
      <c r="I47" s="10" t="s">
        <v>12</v>
      </c>
      <c r="J47" s="15"/>
      <c r="K47" s="15"/>
    </row>
    <row r="48" spans="1:11" x14ac:dyDescent="0.25">
      <c r="A48" s="4" t="s">
        <v>110</v>
      </c>
      <c r="B48" s="5" t="s">
        <v>111</v>
      </c>
      <c r="C48" s="5">
        <v>67926</v>
      </c>
      <c r="D48" s="6">
        <v>46023</v>
      </c>
      <c r="E48" s="7">
        <v>0.37190000000000001</v>
      </c>
      <c r="F48" s="107">
        <v>0.26869999999999999</v>
      </c>
      <c r="G48" s="8">
        <v>0.39900000000000002</v>
      </c>
      <c r="H48" s="4" t="s">
        <v>112</v>
      </c>
      <c r="I48" s="5" t="s">
        <v>12</v>
      </c>
      <c r="J48" s="15"/>
      <c r="K48" s="15"/>
    </row>
    <row r="49" spans="1:11" x14ac:dyDescent="0.25">
      <c r="A49" s="4" t="s">
        <v>110</v>
      </c>
      <c r="B49" s="5" t="s">
        <v>113</v>
      </c>
      <c r="C49" s="5">
        <v>19898</v>
      </c>
      <c r="D49" s="6">
        <v>46023</v>
      </c>
      <c r="E49" s="7">
        <v>0.2286</v>
      </c>
      <c r="F49" s="105"/>
      <c r="G49" s="8">
        <v>0.27050000000000002</v>
      </c>
      <c r="H49" s="4" t="s">
        <v>114</v>
      </c>
      <c r="I49" s="5" t="s">
        <v>12</v>
      </c>
      <c r="J49" s="15"/>
      <c r="K49" s="15"/>
    </row>
    <row r="50" spans="1:11" x14ac:dyDescent="0.25">
      <c r="A50" s="4" t="s">
        <v>110</v>
      </c>
      <c r="B50" s="5" t="s">
        <v>115</v>
      </c>
      <c r="C50" s="5">
        <v>16842</v>
      </c>
      <c r="D50" s="6">
        <v>46023</v>
      </c>
      <c r="E50" s="7">
        <v>0.2717</v>
      </c>
      <c r="F50" s="105"/>
      <c r="G50" s="17">
        <v>0.32950000000000002</v>
      </c>
      <c r="H50" s="4" t="s">
        <v>116</v>
      </c>
      <c r="I50" s="5" t="s">
        <v>12</v>
      </c>
      <c r="J50" s="15"/>
      <c r="K50" s="15"/>
    </row>
    <row r="51" spans="1:11" x14ac:dyDescent="0.25">
      <c r="A51" s="4" t="s">
        <v>110</v>
      </c>
      <c r="B51" s="5" t="s">
        <v>117</v>
      </c>
      <c r="C51" s="5">
        <v>66966</v>
      </c>
      <c r="D51" s="6">
        <v>46023</v>
      </c>
      <c r="E51" s="7">
        <v>0.26650000000000001</v>
      </c>
      <c r="F51" s="105"/>
      <c r="G51" s="8">
        <v>0.26650000000000001</v>
      </c>
      <c r="H51" s="4" t="s">
        <v>118</v>
      </c>
      <c r="I51" s="5" t="s">
        <v>12</v>
      </c>
      <c r="J51" s="15"/>
      <c r="K51" s="15"/>
    </row>
    <row r="52" spans="1:11" x14ac:dyDescent="0.25">
      <c r="A52" s="4" t="s">
        <v>110</v>
      </c>
      <c r="B52" s="5" t="s">
        <v>119</v>
      </c>
      <c r="C52" s="5">
        <v>21663</v>
      </c>
      <c r="D52" s="6">
        <v>46023</v>
      </c>
      <c r="E52" s="7">
        <v>0.18729999999999999</v>
      </c>
      <c r="F52" s="105"/>
      <c r="G52" s="17">
        <v>0.40639999999999998</v>
      </c>
      <c r="H52" s="4" t="s">
        <v>120</v>
      </c>
      <c r="I52" s="5" t="s">
        <v>12</v>
      </c>
      <c r="J52" s="15"/>
      <c r="K52" s="15"/>
    </row>
    <row r="53" spans="1:11" x14ac:dyDescent="0.25">
      <c r="A53" s="4" t="s">
        <v>110</v>
      </c>
      <c r="B53" s="5" t="s">
        <v>76</v>
      </c>
      <c r="C53" s="5">
        <v>48121</v>
      </c>
      <c r="D53" s="6">
        <v>46023</v>
      </c>
      <c r="E53" s="7">
        <v>0.28689999999999999</v>
      </c>
      <c r="F53" s="105"/>
      <c r="G53" s="8">
        <v>0.32090000000000002</v>
      </c>
      <c r="H53" s="4" t="s">
        <v>121</v>
      </c>
      <c r="I53" s="5" t="s">
        <v>12</v>
      </c>
      <c r="J53" s="15"/>
      <c r="K53" s="15"/>
    </row>
    <row r="54" spans="1:11" x14ac:dyDescent="0.25">
      <c r="A54" s="4" t="s">
        <v>110</v>
      </c>
      <c r="B54" s="5" t="s">
        <v>122</v>
      </c>
      <c r="C54" s="5">
        <v>56503</v>
      </c>
      <c r="D54" s="6">
        <v>46023</v>
      </c>
      <c r="E54" s="7">
        <v>0.23949999999999999</v>
      </c>
      <c r="F54" s="105"/>
      <c r="G54" s="8">
        <v>0.26419999999999999</v>
      </c>
      <c r="H54" s="4" t="s">
        <v>123</v>
      </c>
      <c r="I54" s="5" t="s">
        <v>12</v>
      </c>
      <c r="J54" s="15"/>
      <c r="K54" s="15"/>
    </row>
    <row r="55" spans="1:11" x14ac:dyDescent="0.25">
      <c r="A55" s="4" t="s">
        <v>110</v>
      </c>
      <c r="B55" s="5" t="s">
        <v>124</v>
      </c>
      <c r="C55" s="5">
        <v>36194</v>
      </c>
      <c r="D55" s="6">
        <v>46023</v>
      </c>
      <c r="E55" s="7">
        <v>0.19420000000000001</v>
      </c>
      <c r="F55" s="105"/>
      <c r="G55" s="8">
        <v>0.19420000000000001</v>
      </c>
      <c r="H55" s="4" t="s">
        <v>125</v>
      </c>
      <c r="I55" s="5" t="s">
        <v>12</v>
      </c>
      <c r="J55" s="15"/>
      <c r="K55" s="15"/>
    </row>
    <row r="56" spans="1:11" x14ac:dyDescent="0.25">
      <c r="A56" s="4" t="s">
        <v>110</v>
      </c>
      <c r="B56" s="5" t="s">
        <v>126</v>
      </c>
      <c r="C56" s="5">
        <v>30252</v>
      </c>
      <c r="D56" s="6">
        <v>46023</v>
      </c>
      <c r="E56" s="7">
        <v>0.25950000000000001</v>
      </c>
      <c r="F56" s="105"/>
      <c r="G56" s="17">
        <v>0.31690000000000002</v>
      </c>
      <c r="H56" s="4" t="s">
        <v>127</v>
      </c>
      <c r="I56" s="5" t="s">
        <v>12</v>
      </c>
      <c r="J56" s="15"/>
      <c r="K56" s="15"/>
    </row>
    <row r="57" spans="1:11" x14ac:dyDescent="0.25">
      <c r="A57" s="4" t="s">
        <v>110</v>
      </c>
      <c r="B57" s="5" t="s">
        <v>128</v>
      </c>
      <c r="C57" s="5">
        <v>54172</v>
      </c>
      <c r="D57" s="6">
        <v>46023</v>
      </c>
      <c r="E57" s="7">
        <v>0.40810000000000002</v>
      </c>
      <c r="F57" s="105"/>
      <c r="G57" s="8">
        <v>0.43619999999999998</v>
      </c>
      <c r="H57" s="4" t="s">
        <v>129</v>
      </c>
      <c r="I57" s="5" t="s">
        <v>12</v>
      </c>
      <c r="J57" s="15"/>
      <c r="K57" s="15"/>
    </row>
    <row r="58" spans="1:11" x14ac:dyDescent="0.25">
      <c r="A58" s="4" t="s">
        <v>110</v>
      </c>
      <c r="B58" s="5" t="s">
        <v>130</v>
      </c>
      <c r="C58" s="5">
        <v>40572</v>
      </c>
      <c r="D58" s="6">
        <v>46023</v>
      </c>
      <c r="E58" s="7">
        <v>0.24790000000000001</v>
      </c>
      <c r="F58" s="105"/>
      <c r="G58" s="8">
        <v>0.29239999999999999</v>
      </c>
      <c r="H58" s="4" t="s">
        <v>131</v>
      </c>
      <c r="I58" s="5" t="s">
        <v>12</v>
      </c>
      <c r="J58" s="15"/>
      <c r="K58" s="15"/>
    </row>
    <row r="59" spans="1:11" x14ac:dyDescent="0.25">
      <c r="A59" s="4" t="s">
        <v>110</v>
      </c>
      <c r="B59" s="5" t="s">
        <v>132</v>
      </c>
      <c r="C59" s="5">
        <v>44228</v>
      </c>
      <c r="D59" s="6">
        <v>46023</v>
      </c>
      <c r="E59" s="7">
        <v>0.25740000000000002</v>
      </c>
      <c r="F59" s="105"/>
      <c r="G59" s="8">
        <v>0.29699999999999999</v>
      </c>
      <c r="H59" s="4" t="s">
        <v>133</v>
      </c>
      <c r="I59" s="5" t="s">
        <v>12</v>
      </c>
      <c r="J59" s="15"/>
      <c r="K59" s="15"/>
    </row>
    <row r="60" spans="1:11" x14ac:dyDescent="0.25">
      <c r="A60" s="4" t="s">
        <v>110</v>
      </c>
      <c r="B60" s="5" t="s">
        <v>134</v>
      </c>
      <c r="C60" s="5">
        <v>86382</v>
      </c>
      <c r="D60" s="6">
        <v>46023</v>
      </c>
      <c r="E60" s="7">
        <v>0.29620000000000002</v>
      </c>
      <c r="F60" s="105"/>
      <c r="G60" s="17">
        <v>0.51659999999999995</v>
      </c>
      <c r="H60" s="4" t="s">
        <v>135</v>
      </c>
      <c r="I60" s="5" t="s">
        <v>12</v>
      </c>
      <c r="J60" s="15"/>
      <c r="K60" s="15"/>
    </row>
    <row r="61" spans="1:11" ht="15.75" thickBot="1" x14ac:dyDescent="0.3">
      <c r="A61" s="9" t="s">
        <v>110</v>
      </c>
      <c r="B61" s="10" t="s">
        <v>136</v>
      </c>
      <c r="C61" s="10">
        <v>68398</v>
      </c>
      <c r="D61" s="11">
        <v>46023</v>
      </c>
      <c r="E61" s="12">
        <v>0.24640000000000001</v>
      </c>
      <c r="F61" s="106"/>
      <c r="G61" s="50">
        <v>0.32500000000000001</v>
      </c>
      <c r="H61" s="9" t="s">
        <v>137</v>
      </c>
      <c r="I61" s="10" t="s">
        <v>12</v>
      </c>
      <c r="J61" s="15"/>
      <c r="K61" s="15"/>
    </row>
    <row r="62" spans="1:11" x14ac:dyDescent="0.25">
      <c r="A62" s="4" t="s">
        <v>138</v>
      </c>
      <c r="B62" s="5" t="s">
        <v>139</v>
      </c>
      <c r="C62" s="5">
        <v>83761</v>
      </c>
      <c r="D62" s="6">
        <v>46023</v>
      </c>
      <c r="E62" s="7">
        <v>0.1804</v>
      </c>
      <c r="F62" s="107">
        <v>0.28449999999999998</v>
      </c>
      <c r="G62" s="17">
        <v>0.23369999999999999</v>
      </c>
      <c r="H62" s="4" t="s">
        <v>140</v>
      </c>
      <c r="I62" s="5" t="s">
        <v>12</v>
      </c>
      <c r="J62" s="15"/>
      <c r="K62" s="15"/>
    </row>
    <row r="63" spans="1:11" x14ac:dyDescent="0.25">
      <c r="A63" s="4" t="s">
        <v>138</v>
      </c>
      <c r="B63" s="5" t="s">
        <v>141</v>
      </c>
      <c r="C63" s="5">
        <v>45495</v>
      </c>
      <c r="D63" s="6">
        <v>46023</v>
      </c>
      <c r="E63" s="7">
        <v>0.39989999999999998</v>
      </c>
      <c r="F63" s="105"/>
      <c r="G63" s="8">
        <v>0.39989999999999998</v>
      </c>
      <c r="H63" s="4" t="s">
        <v>142</v>
      </c>
      <c r="I63" s="5" t="s">
        <v>12</v>
      </c>
      <c r="J63" s="15"/>
      <c r="K63" s="15"/>
    </row>
    <row r="64" spans="1:11" x14ac:dyDescent="0.25">
      <c r="A64" s="4" t="s">
        <v>138</v>
      </c>
      <c r="B64" s="5" t="s">
        <v>143</v>
      </c>
      <c r="C64" s="18">
        <v>45334</v>
      </c>
      <c r="D64" s="6">
        <v>46023</v>
      </c>
      <c r="E64" s="7">
        <v>0.27889999999999998</v>
      </c>
      <c r="F64" s="105"/>
      <c r="G64" s="17">
        <v>0.34610000000000002</v>
      </c>
      <c r="H64" s="4" t="s">
        <v>144</v>
      </c>
      <c r="I64" s="5" t="s">
        <v>12</v>
      </c>
      <c r="J64" s="15"/>
      <c r="K64" s="15"/>
    </row>
    <row r="65" spans="1:11" x14ac:dyDescent="0.25">
      <c r="A65" s="4" t="s">
        <v>138</v>
      </c>
      <c r="B65" s="5" t="s">
        <v>145</v>
      </c>
      <c r="C65" s="5">
        <v>49046</v>
      </c>
      <c r="D65" s="6">
        <v>46023</v>
      </c>
      <c r="E65" s="7">
        <v>0.21959999999999999</v>
      </c>
      <c r="F65" s="105"/>
      <c r="G65" s="8">
        <v>0.25430000000000003</v>
      </c>
      <c r="H65" s="4" t="s">
        <v>146</v>
      </c>
      <c r="I65" s="5" t="s">
        <v>12</v>
      </c>
      <c r="J65" s="15"/>
      <c r="K65" s="15"/>
    </row>
    <row r="66" spans="1:11" x14ac:dyDescent="0.25">
      <c r="A66" s="4" t="s">
        <v>138</v>
      </c>
      <c r="B66" s="5" t="s">
        <v>147</v>
      </c>
      <c r="C66" s="5">
        <v>60224</v>
      </c>
      <c r="D66" s="6">
        <v>46023</v>
      </c>
      <c r="E66" s="7">
        <v>0.15920000000000001</v>
      </c>
      <c r="F66" s="105"/>
      <c r="G66" s="17">
        <v>0.31480000000000002</v>
      </c>
      <c r="H66" s="4" t="s">
        <v>148</v>
      </c>
      <c r="I66" s="5" t="s">
        <v>12</v>
      </c>
      <c r="J66" s="15"/>
      <c r="K66" s="15"/>
    </row>
    <row r="67" spans="1:11" x14ac:dyDescent="0.25">
      <c r="A67" s="4" t="s">
        <v>138</v>
      </c>
      <c r="B67" s="5" t="s">
        <v>149</v>
      </c>
      <c r="C67" s="5">
        <v>15105</v>
      </c>
      <c r="D67" s="6">
        <v>46023</v>
      </c>
      <c r="E67" s="7">
        <v>0.44879999999999998</v>
      </c>
      <c r="F67" s="105"/>
      <c r="G67" s="8">
        <v>0.39929999999999999</v>
      </c>
      <c r="H67" s="4" t="s">
        <v>150</v>
      </c>
      <c r="I67" s="5" t="s">
        <v>12</v>
      </c>
      <c r="J67" s="15"/>
      <c r="K67" s="15"/>
    </row>
    <row r="68" spans="1:11" x14ac:dyDescent="0.25">
      <c r="A68" s="4" t="s">
        <v>138</v>
      </c>
      <c r="B68" s="5" t="s">
        <v>151</v>
      </c>
      <c r="C68" s="5">
        <v>89942</v>
      </c>
      <c r="D68" s="6">
        <v>46023</v>
      </c>
      <c r="E68" s="7">
        <v>0.15629999999999999</v>
      </c>
      <c r="F68" s="105"/>
      <c r="G68" s="8">
        <v>0.16769999999999999</v>
      </c>
      <c r="H68" s="4" t="s">
        <v>152</v>
      </c>
      <c r="I68" s="5" t="s">
        <v>12</v>
      </c>
      <c r="J68" s="15"/>
      <c r="K68" s="15"/>
    </row>
    <row r="69" spans="1:11" x14ac:dyDescent="0.25">
      <c r="A69" s="4" t="s">
        <v>138</v>
      </c>
      <c r="B69" s="5" t="s">
        <v>153</v>
      </c>
      <c r="C69" s="5">
        <v>58081</v>
      </c>
      <c r="D69" s="6">
        <v>46023</v>
      </c>
      <c r="E69" s="7">
        <v>0.3175</v>
      </c>
      <c r="F69" s="105"/>
      <c r="G69" s="8">
        <v>0.32040000000000002</v>
      </c>
      <c r="H69" s="4" t="s">
        <v>154</v>
      </c>
      <c r="I69" s="5" t="s">
        <v>12</v>
      </c>
      <c r="J69" s="15"/>
      <c r="K69" s="15"/>
    </row>
    <row r="70" spans="1:11" x14ac:dyDescent="0.25">
      <c r="A70" s="4" t="s">
        <v>138</v>
      </c>
      <c r="B70" s="5" t="s">
        <v>155</v>
      </c>
      <c r="C70" s="18">
        <v>45495</v>
      </c>
      <c r="D70" s="6">
        <v>46023</v>
      </c>
      <c r="E70" s="7">
        <v>0.28460000000000002</v>
      </c>
      <c r="F70" s="105"/>
      <c r="G70" s="8">
        <v>0.28460000000000002</v>
      </c>
      <c r="H70" s="4" t="s">
        <v>156</v>
      </c>
      <c r="I70" s="5" t="s">
        <v>12</v>
      </c>
      <c r="J70" s="15"/>
      <c r="K70" s="15"/>
    </row>
    <row r="71" spans="1:11" ht="15.75" thickBot="1" x14ac:dyDescent="0.3">
      <c r="A71" s="9" t="s">
        <v>138</v>
      </c>
      <c r="B71" s="10" t="s">
        <v>157</v>
      </c>
      <c r="C71" s="10">
        <v>43802</v>
      </c>
      <c r="D71" s="11">
        <v>46023</v>
      </c>
      <c r="E71" s="12">
        <v>0.4</v>
      </c>
      <c r="F71" s="106"/>
      <c r="G71" s="13">
        <v>0.40150000000000002</v>
      </c>
      <c r="H71" s="9" t="s">
        <v>158</v>
      </c>
      <c r="I71" s="10" t="s">
        <v>12</v>
      </c>
      <c r="J71" s="15"/>
      <c r="K71" s="15"/>
    </row>
    <row r="72" spans="1:11" x14ac:dyDescent="0.25">
      <c r="A72" s="4" t="s">
        <v>159</v>
      </c>
      <c r="B72" s="5" t="s">
        <v>160</v>
      </c>
      <c r="C72" s="5">
        <v>18350</v>
      </c>
      <c r="D72" s="6">
        <v>46023</v>
      </c>
      <c r="E72" s="7">
        <v>0.12909999999999999</v>
      </c>
      <c r="F72" s="107">
        <v>0.1166</v>
      </c>
      <c r="G72" s="8">
        <v>0.128</v>
      </c>
      <c r="H72" s="4" t="s">
        <v>161</v>
      </c>
      <c r="I72" s="5" t="s">
        <v>12</v>
      </c>
      <c r="J72" s="15"/>
      <c r="K72" s="15"/>
    </row>
    <row r="73" spans="1:11" ht="15.75" thickBot="1" x14ac:dyDescent="0.3">
      <c r="A73" s="9" t="s">
        <v>159</v>
      </c>
      <c r="B73" s="10" t="s">
        <v>162</v>
      </c>
      <c r="C73" s="10">
        <v>60612</v>
      </c>
      <c r="D73" s="11">
        <v>46023</v>
      </c>
      <c r="E73" s="12">
        <v>0.104</v>
      </c>
      <c r="F73" s="106"/>
      <c r="G73" s="13">
        <v>0.104</v>
      </c>
      <c r="H73" s="9" t="s">
        <v>163</v>
      </c>
      <c r="I73" s="10" t="s">
        <v>12</v>
      </c>
      <c r="J73" s="15"/>
      <c r="K73" s="15"/>
    </row>
    <row r="74" spans="1:11" x14ac:dyDescent="0.25">
      <c r="A74" s="4" t="s">
        <v>164</v>
      </c>
      <c r="B74" s="5" t="s">
        <v>165</v>
      </c>
      <c r="C74" s="5">
        <v>61589</v>
      </c>
      <c r="D74" s="6">
        <v>46023</v>
      </c>
      <c r="E74" s="7">
        <v>0.14430000000000001</v>
      </c>
      <c r="F74" s="107">
        <v>0.1149</v>
      </c>
      <c r="G74" s="8">
        <v>0.14430000000000001</v>
      </c>
      <c r="H74" s="4" t="s">
        <v>166</v>
      </c>
      <c r="I74" s="5" t="s">
        <v>12</v>
      </c>
      <c r="J74" s="15"/>
      <c r="K74" s="15"/>
    </row>
    <row r="75" spans="1:11" x14ac:dyDescent="0.25">
      <c r="A75" s="4" t="s">
        <v>164</v>
      </c>
      <c r="B75" s="5" t="s">
        <v>167</v>
      </c>
      <c r="C75" s="5">
        <v>80588</v>
      </c>
      <c r="D75" s="6">
        <v>46023</v>
      </c>
      <c r="E75" s="7">
        <v>7.8200000000000006E-2</v>
      </c>
      <c r="F75" s="105"/>
      <c r="G75" s="17">
        <v>0.1226</v>
      </c>
      <c r="H75" s="4" t="s">
        <v>168</v>
      </c>
      <c r="I75" s="5" t="s">
        <v>12</v>
      </c>
      <c r="J75" s="15"/>
      <c r="K75" s="15"/>
    </row>
    <row r="76" spans="1:11" x14ac:dyDescent="0.25">
      <c r="A76" s="4" t="s">
        <v>164</v>
      </c>
      <c r="B76" s="5" t="s">
        <v>169</v>
      </c>
      <c r="C76" s="5">
        <v>91278</v>
      </c>
      <c r="D76" s="6">
        <v>46023</v>
      </c>
      <c r="E76" s="7">
        <v>0.1628</v>
      </c>
      <c r="F76" s="105"/>
      <c r="G76" s="8">
        <v>0.1628</v>
      </c>
      <c r="H76" s="4" t="s">
        <v>170</v>
      </c>
      <c r="I76" s="5" t="s">
        <v>12</v>
      </c>
      <c r="J76" s="15"/>
      <c r="K76" s="15"/>
    </row>
    <row r="77" spans="1:11" x14ac:dyDescent="0.25">
      <c r="A77" s="4" t="s">
        <v>164</v>
      </c>
      <c r="B77" s="5" t="s">
        <v>171</v>
      </c>
      <c r="C77" s="5">
        <v>38128</v>
      </c>
      <c r="D77" s="6">
        <v>46023</v>
      </c>
      <c r="E77" s="7">
        <v>0.13270000000000001</v>
      </c>
      <c r="F77" s="105"/>
      <c r="G77" s="8">
        <v>0.13270000000000001</v>
      </c>
      <c r="H77" s="4" t="s">
        <v>172</v>
      </c>
      <c r="I77" s="5" t="s">
        <v>12</v>
      </c>
      <c r="J77" s="15"/>
      <c r="K77" s="15"/>
    </row>
    <row r="78" spans="1:11" x14ac:dyDescent="0.25">
      <c r="A78" s="4" t="s">
        <v>164</v>
      </c>
      <c r="B78" s="5" t="s">
        <v>173</v>
      </c>
      <c r="C78" s="5">
        <v>60597</v>
      </c>
      <c r="D78" s="6">
        <v>46023</v>
      </c>
      <c r="E78" s="7">
        <v>0.15579999999999999</v>
      </c>
      <c r="F78" s="105"/>
      <c r="G78" s="8">
        <v>0.15579999999999999</v>
      </c>
      <c r="H78" s="4" t="s">
        <v>174</v>
      </c>
      <c r="I78" s="5" t="s">
        <v>12</v>
      </c>
      <c r="J78" s="15"/>
      <c r="K78" s="15"/>
    </row>
    <row r="79" spans="1:11" x14ac:dyDescent="0.25">
      <c r="A79" s="4" t="s">
        <v>164</v>
      </c>
      <c r="B79" s="5" t="s">
        <v>175</v>
      </c>
      <c r="C79" s="5">
        <v>44648</v>
      </c>
      <c r="D79" s="6">
        <v>46023</v>
      </c>
      <c r="E79" s="7">
        <v>7.6799999999999993E-2</v>
      </c>
      <c r="F79" s="105"/>
      <c r="G79" s="8">
        <v>7.6799999999999993E-2</v>
      </c>
      <c r="H79" s="4" t="s">
        <v>176</v>
      </c>
      <c r="I79" s="5" t="s">
        <v>12</v>
      </c>
      <c r="J79" s="15"/>
      <c r="K79" s="15"/>
    </row>
    <row r="80" spans="1:11" x14ac:dyDescent="0.25">
      <c r="A80" s="4" t="s">
        <v>164</v>
      </c>
      <c r="B80" s="5" t="s">
        <v>86</v>
      </c>
      <c r="C80" s="5">
        <v>26002</v>
      </c>
      <c r="D80" s="6">
        <v>46023</v>
      </c>
      <c r="E80" s="7">
        <v>8.3099999999999993E-2</v>
      </c>
      <c r="F80" s="105"/>
      <c r="G80" s="8">
        <v>8.3099999999999993E-2</v>
      </c>
      <c r="H80" s="4" t="s">
        <v>177</v>
      </c>
      <c r="I80" s="5" t="s">
        <v>12</v>
      </c>
      <c r="J80" s="15"/>
      <c r="K80" s="15"/>
    </row>
    <row r="81" spans="1:11" ht="15.75" thickBot="1" x14ac:dyDescent="0.3">
      <c r="A81" s="9" t="s">
        <v>164</v>
      </c>
      <c r="B81" s="10" t="s">
        <v>178</v>
      </c>
      <c r="C81" s="10">
        <v>92170</v>
      </c>
      <c r="D81" s="11">
        <v>46023</v>
      </c>
      <c r="E81" s="12">
        <v>8.5400000000000004E-2</v>
      </c>
      <c r="F81" s="106"/>
      <c r="G81" s="13">
        <v>8.5400000000000004E-2</v>
      </c>
      <c r="H81" s="9" t="s">
        <v>179</v>
      </c>
      <c r="I81" s="10" t="s">
        <v>12</v>
      </c>
      <c r="J81" s="15"/>
      <c r="K81" s="15"/>
    </row>
    <row r="82" spans="1:11" x14ac:dyDescent="0.25">
      <c r="A82" s="4" t="s">
        <v>180</v>
      </c>
      <c r="B82" s="5" t="s">
        <v>181</v>
      </c>
      <c r="C82" s="5">
        <v>36096</v>
      </c>
      <c r="D82" s="6">
        <v>46023</v>
      </c>
      <c r="E82" s="7">
        <v>0.2712</v>
      </c>
      <c r="F82" s="107">
        <v>0.19620000000000001</v>
      </c>
      <c r="G82" s="8">
        <v>0.28179999999999999</v>
      </c>
      <c r="H82" s="4" t="s">
        <v>182</v>
      </c>
      <c r="I82" s="5" t="s">
        <v>12</v>
      </c>
      <c r="J82" s="15"/>
      <c r="K82" s="15"/>
    </row>
    <row r="83" spans="1:11" x14ac:dyDescent="0.25">
      <c r="A83" s="4" t="s">
        <v>180</v>
      </c>
      <c r="B83" s="5" t="s">
        <v>13</v>
      </c>
      <c r="C83" s="5">
        <v>27833</v>
      </c>
      <c r="D83" s="6">
        <v>46023</v>
      </c>
      <c r="E83" s="7">
        <v>0.3861</v>
      </c>
      <c r="F83" s="105"/>
      <c r="G83" s="8">
        <v>0.42130000000000001</v>
      </c>
      <c r="H83" s="4" t="s">
        <v>183</v>
      </c>
      <c r="I83" s="5" t="s">
        <v>12</v>
      </c>
      <c r="J83" s="15"/>
      <c r="K83" s="15"/>
    </row>
    <row r="84" spans="1:11" x14ac:dyDescent="0.25">
      <c r="A84" s="4" t="s">
        <v>180</v>
      </c>
      <c r="B84" s="5" t="s">
        <v>184</v>
      </c>
      <c r="C84" s="5">
        <v>53882</v>
      </c>
      <c r="D84" s="6">
        <v>46023</v>
      </c>
      <c r="E84" s="7">
        <v>9.5000000000000001E-2</v>
      </c>
      <c r="F84" s="105"/>
      <c r="G84" s="17">
        <v>0.1946</v>
      </c>
      <c r="H84" s="4" t="s">
        <v>185</v>
      </c>
      <c r="I84" s="5" t="s">
        <v>12</v>
      </c>
      <c r="J84" s="15"/>
      <c r="K84" s="15"/>
    </row>
    <row r="85" spans="1:11" x14ac:dyDescent="0.25">
      <c r="A85" s="4" t="s">
        <v>180</v>
      </c>
      <c r="B85" s="5" t="s">
        <v>186</v>
      </c>
      <c r="C85" s="5">
        <v>54322</v>
      </c>
      <c r="D85" s="6">
        <v>46023</v>
      </c>
      <c r="E85" s="7">
        <v>9.3100000000000002E-2</v>
      </c>
      <c r="F85" s="105"/>
      <c r="G85" s="8">
        <v>0.1108</v>
      </c>
      <c r="H85" s="4" t="s">
        <v>187</v>
      </c>
      <c r="I85" s="5" t="s">
        <v>12</v>
      </c>
      <c r="J85" s="15"/>
      <c r="K85" s="15"/>
    </row>
    <row r="86" spans="1:11" x14ac:dyDescent="0.25">
      <c r="A86" s="4" t="s">
        <v>180</v>
      </c>
      <c r="B86" s="5" t="s">
        <v>188</v>
      </c>
      <c r="C86" s="5">
        <v>32355</v>
      </c>
      <c r="D86" s="6">
        <v>46023</v>
      </c>
      <c r="E86" s="7">
        <v>0.21540000000000001</v>
      </c>
      <c r="F86" s="105"/>
      <c r="G86" s="8">
        <v>0.23749999999999999</v>
      </c>
      <c r="H86" s="4" t="s">
        <v>189</v>
      </c>
      <c r="I86" s="5" t="s">
        <v>12</v>
      </c>
      <c r="J86" s="15"/>
      <c r="K86" s="15"/>
    </row>
    <row r="87" spans="1:11" x14ac:dyDescent="0.25">
      <c r="A87" s="4" t="s">
        <v>180</v>
      </c>
      <c r="B87" s="5" t="s">
        <v>33</v>
      </c>
      <c r="C87" s="5">
        <v>11574</v>
      </c>
      <c r="D87" s="6">
        <v>46023</v>
      </c>
      <c r="E87" s="7">
        <v>0.10390000000000001</v>
      </c>
      <c r="F87" s="105"/>
      <c r="G87" s="8">
        <v>0.1043</v>
      </c>
      <c r="H87" s="4" t="s">
        <v>190</v>
      </c>
      <c r="I87" s="5" t="s">
        <v>12</v>
      </c>
      <c r="J87" s="15"/>
      <c r="K87" s="15"/>
    </row>
    <row r="88" spans="1:11" ht="15.75" thickBot="1" x14ac:dyDescent="0.3">
      <c r="A88" s="9" t="s">
        <v>180</v>
      </c>
      <c r="B88" s="10" t="s">
        <v>191</v>
      </c>
      <c r="C88" s="10">
        <v>42529</v>
      </c>
      <c r="D88" s="11">
        <v>46023</v>
      </c>
      <c r="E88" s="12">
        <v>0.2084</v>
      </c>
      <c r="F88" s="106"/>
      <c r="G88" s="13">
        <v>0.21920000000000001</v>
      </c>
      <c r="H88" s="9" t="s">
        <v>192</v>
      </c>
      <c r="I88" s="10" t="s">
        <v>12</v>
      </c>
      <c r="J88" s="15"/>
      <c r="K88" s="15"/>
    </row>
    <row r="89" spans="1:11" x14ac:dyDescent="0.25">
      <c r="A89" s="4" t="s">
        <v>193</v>
      </c>
      <c r="B89" s="5" t="s">
        <v>194</v>
      </c>
      <c r="C89" s="5">
        <v>17575</v>
      </c>
      <c r="D89" s="6">
        <v>46023</v>
      </c>
      <c r="E89" s="7">
        <v>0.2132</v>
      </c>
      <c r="F89" s="107">
        <v>0.318</v>
      </c>
      <c r="G89" s="8">
        <v>0.22559999999999999</v>
      </c>
      <c r="H89" s="4" t="s">
        <v>195</v>
      </c>
      <c r="I89" s="5" t="s">
        <v>12</v>
      </c>
      <c r="J89" s="15"/>
      <c r="K89" s="15"/>
    </row>
    <row r="90" spans="1:11" x14ac:dyDescent="0.25">
      <c r="A90" s="4" t="s">
        <v>193</v>
      </c>
      <c r="B90" s="5" t="s">
        <v>196</v>
      </c>
      <c r="C90" s="5">
        <v>54192</v>
      </c>
      <c r="D90" s="6">
        <v>46023</v>
      </c>
      <c r="E90" s="7">
        <v>0.27689999999999998</v>
      </c>
      <c r="F90" s="105"/>
      <c r="G90" s="8">
        <v>0.29699999999999999</v>
      </c>
      <c r="H90" s="4" t="s">
        <v>197</v>
      </c>
      <c r="I90" s="5" t="s">
        <v>12</v>
      </c>
      <c r="J90" s="15"/>
      <c r="K90" s="15"/>
    </row>
    <row r="91" spans="1:11" x14ac:dyDescent="0.25">
      <c r="A91" s="4" t="s">
        <v>193</v>
      </c>
      <c r="B91" s="5" t="s">
        <v>13</v>
      </c>
      <c r="C91" s="5">
        <v>76179</v>
      </c>
      <c r="D91" s="6">
        <v>46023</v>
      </c>
      <c r="E91" s="7">
        <v>0.2331</v>
      </c>
      <c r="F91" s="105"/>
      <c r="G91" s="8">
        <v>0.2331</v>
      </c>
      <c r="H91" s="4" t="s">
        <v>198</v>
      </c>
      <c r="I91" s="5" t="s">
        <v>12</v>
      </c>
      <c r="J91" s="15"/>
      <c r="K91" s="15"/>
    </row>
    <row r="92" spans="1:11" x14ac:dyDescent="0.25">
      <c r="A92" s="4" t="s">
        <v>193</v>
      </c>
      <c r="B92" s="5" t="s">
        <v>76</v>
      </c>
      <c r="C92" s="5">
        <v>94419</v>
      </c>
      <c r="D92" s="6">
        <v>46023</v>
      </c>
      <c r="E92" s="7">
        <v>0.34949999999999998</v>
      </c>
      <c r="F92" s="105"/>
      <c r="G92" s="8">
        <v>0.30030000000000001</v>
      </c>
      <c r="H92" s="4" t="s">
        <v>199</v>
      </c>
      <c r="I92" s="5" t="s">
        <v>12</v>
      </c>
      <c r="J92" s="15"/>
      <c r="K92" s="15"/>
    </row>
    <row r="93" spans="1:11" x14ac:dyDescent="0.25">
      <c r="A93" s="4" t="s">
        <v>193</v>
      </c>
      <c r="B93" s="5" t="s">
        <v>200</v>
      </c>
      <c r="C93" s="18">
        <v>35065</v>
      </c>
      <c r="D93" s="6">
        <v>46023</v>
      </c>
      <c r="E93" s="7">
        <v>0.42680000000000001</v>
      </c>
      <c r="F93" s="105"/>
      <c r="G93" s="8">
        <v>0.29970000000000002</v>
      </c>
      <c r="H93" s="4" t="s">
        <v>201</v>
      </c>
      <c r="I93" s="5" t="s">
        <v>12</v>
      </c>
      <c r="J93" s="15"/>
      <c r="K93" s="15"/>
    </row>
    <row r="94" spans="1:11" ht="15.75" thickBot="1" x14ac:dyDescent="0.3">
      <c r="A94" s="9" t="s">
        <v>193</v>
      </c>
      <c r="B94" s="10" t="s">
        <v>15</v>
      </c>
      <c r="C94" s="10">
        <v>72850</v>
      </c>
      <c r="D94" s="11">
        <v>46023</v>
      </c>
      <c r="E94" s="12">
        <v>0.40870000000000001</v>
      </c>
      <c r="F94" s="106"/>
      <c r="G94" s="13">
        <v>0.2999</v>
      </c>
      <c r="H94" s="9" t="s">
        <v>202</v>
      </c>
      <c r="I94" s="10" t="s">
        <v>12</v>
      </c>
      <c r="J94" s="15"/>
      <c r="K94" s="15"/>
    </row>
    <row r="95" spans="1:11" x14ac:dyDescent="0.25">
      <c r="A95" s="4" t="s">
        <v>203</v>
      </c>
      <c r="B95" s="5" t="s">
        <v>204</v>
      </c>
      <c r="C95" s="51">
        <v>48286</v>
      </c>
      <c r="D95" s="6">
        <v>46023</v>
      </c>
      <c r="E95" s="7">
        <v>0.26919999999999999</v>
      </c>
      <c r="F95" s="107">
        <v>0.19700000000000001</v>
      </c>
      <c r="G95" s="8">
        <v>0.26919999999999999</v>
      </c>
      <c r="H95" s="4" t="s">
        <v>205</v>
      </c>
      <c r="I95" s="5" t="s">
        <v>12</v>
      </c>
      <c r="J95" s="15"/>
      <c r="K95" s="15"/>
    </row>
    <row r="96" spans="1:11" x14ac:dyDescent="0.25">
      <c r="A96" s="4" t="s">
        <v>203</v>
      </c>
      <c r="B96" s="5" t="s">
        <v>206</v>
      </c>
      <c r="C96" s="5">
        <v>93078</v>
      </c>
      <c r="D96" s="6">
        <v>46023</v>
      </c>
      <c r="E96" s="7">
        <v>0.2676</v>
      </c>
      <c r="F96" s="105"/>
      <c r="G96" s="8">
        <v>0.27389999999999998</v>
      </c>
      <c r="H96" s="4" t="s">
        <v>207</v>
      </c>
      <c r="I96" s="5" t="s">
        <v>12</v>
      </c>
      <c r="J96" s="15"/>
      <c r="K96" s="15"/>
    </row>
    <row r="97" spans="1:11" x14ac:dyDescent="0.25">
      <c r="A97" s="4" t="s">
        <v>203</v>
      </c>
      <c r="B97" s="5" t="s">
        <v>208</v>
      </c>
      <c r="C97" s="5">
        <v>45819</v>
      </c>
      <c r="D97" s="6">
        <v>46023</v>
      </c>
      <c r="E97" s="7">
        <v>0.12470000000000001</v>
      </c>
      <c r="F97" s="105"/>
      <c r="G97" s="8">
        <v>0.12740000000000001</v>
      </c>
      <c r="H97" s="4" t="s">
        <v>209</v>
      </c>
      <c r="I97" s="5" t="s">
        <v>12</v>
      </c>
      <c r="J97" s="15"/>
      <c r="K97" s="15"/>
    </row>
    <row r="98" spans="1:11" x14ac:dyDescent="0.25">
      <c r="A98" s="4" t="s">
        <v>203</v>
      </c>
      <c r="B98" s="5" t="s">
        <v>210</v>
      </c>
      <c r="C98" s="5">
        <v>56610</v>
      </c>
      <c r="D98" s="6">
        <v>46023</v>
      </c>
      <c r="E98" s="7">
        <v>0.19769999999999999</v>
      </c>
      <c r="F98" s="105"/>
      <c r="G98" s="8">
        <v>0.1893</v>
      </c>
      <c r="H98" s="4" t="s">
        <v>211</v>
      </c>
      <c r="I98" s="5" t="s">
        <v>12</v>
      </c>
      <c r="J98" s="15"/>
      <c r="K98" s="15"/>
    </row>
    <row r="99" spans="1:11" ht="15.75" thickBot="1" x14ac:dyDescent="0.3">
      <c r="A99" s="9" t="s">
        <v>203</v>
      </c>
      <c r="B99" s="10" t="s">
        <v>212</v>
      </c>
      <c r="C99" s="10">
        <v>25896</v>
      </c>
      <c r="D99" s="11">
        <v>46023</v>
      </c>
      <c r="E99" s="12">
        <v>0.12570000000000001</v>
      </c>
      <c r="F99" s="106"/>
      <c r="G99" s="13">
        <v>0.13650000000000001</v>
      </c>
      <c r="H99" s="9" t="s">
        <v>213</v>
      </c>
      <c r="I99" s="10" t="s">
        <v>12</v>
      </c>
      <c r="J99" s="15"/>
      <c r="K99" s="15"/>
    </row>
    <row r="100" spans="1:11" x14ac:dyDescent="0.25">
      <c r="A100" s="4" t="s">
        <v>214</v>
      </c>
      <c r="B100" s="5" t="s">
        <v>215</v>
      </c>
      <c r="C100" s="5">
        <v>94248</v>
      </c>
      <c r="D100" s="6">
        <v>46023</v>
      </c>
      <c r="E100" s="7">
        <v>-6.1400000000000003E-2</v>
      </c>
      <c r="F100" s="107">
        <v>0.17349999999999999</v>
      </c>
      <c r="G100" s="8">
        <v>-6.1400000000000003E-2</v>
      </c>
      <c r="H100" s="4" t="s">
        <v>216</v>
      </c>
      <c r="I100" s="5" t="s">
        <v>12</v>
      </c>
      <c r="J100" s="15"/>
      <c r="K100" s="15"/>
    </row>
    <row r="101" spans="1:11" x14ac:dyDescent="0.25">
      <c r="A101" s="4" t="s">
        <v>214</v>
      </c>
      <c r="B101" s="5" t="s">
        <v>217</v>
      </c>
      <c r="C101" s="5">
        <v>18558</v>
      </c>
      <c r="D101" s="6">
        <v>46023</v>
      </c>
      <c r="E101" s="7">
        <v>0.1638</v>
      </c>
      <c r="F101" s="105"/>
      <c r="G101" s="8">
        <v>0.16650000000000001</v>
      </c>
      <c r="H101" s="4" t="s">
        <v>218</v>
      </c>
      <c r="I101" s="5" t="s">
        <v>12</v>
      </c>
      <c r="J101" s="15"/>
      <c r="K101" s="15"/>
    </row>
    <row r="102" spans="1:11" x14ac:dyDescent="0.25">
      <c r="A102" s="4" t="s">
        <v>214</v>
      </c>
      <c r="B102" s="5" t="s">
        <v>13</v>
      </c>
      <c r="C102" s="5">
        <v>34368</v>
      </c>
      <c r="D102" s="6">
        <v>46023</v>
      </c>
      <c r="E102" s="7">
        <v>0.3997</v>
      </c>
      <c r="F102" s="105"/>
      <c r="G102" s="8">
        <v>0.33660000000000001</v>
      </c>
      <c r="H102" s="4" t="s">
        <v>219</v>
      </c>
      <c r="I102" s="5" t="s">
        <v>12</v>
      </c>
      <c r="J102" s="15"/>
      <c r="K102" s="15"/>
    </row>
    <row r="103" spans="1:11" x14ac:dyDescent="0.25">
      <c r="A103" s="4" t="s">
        <v>214</v>
      </c>
      <c r="B103" s="5" t="s">
        <v>206</v>
      </c>
      <c r="C103" s="5">
        <v>39520</v>
      </c>
      <c r="D103" s="6">
        <v>46023</v>
      </c>
      <c r="E103" s="7">
        <v>0.29310000000000003</v>
      </c>
      <c r="F103" s="105"/>
      <c r="G103" s="8">
        <v>0.30759999999999998</v>
      </c>
      <c r="H103" s="4" t="s">
        <v>220</v>
      </c>
      <c r="I103" s="5" t="s">
        <v>12</v>
      </c>
      <c r="J103" s="15"/>
      <c r="K103" s="15"/>
    </row>
    <row r="104" spans="1:11" x14ac:dyDescent="0.25">
      <c r="A104" s="4" t="s">
        <v>214</v>
      </c>
      <c r="B104" s="5" t="s">
        <v>208</v>
      </c>
      <c r="C104" s="5">
        <v>43490</v>
      </c>
      <c r="D104" s="6">
        <v>46023</v>
      </c>
      <c r="E104" s="7">
        <v>0.1444</v>
      </c>
      <c r="F104" s="105"/>
      <c r="G104" s="8">
        <v>0.1444</v>
      </c>
      <c r="H104" s="4" t="s">
        <v>221</v>
      </c>
      <c r="I104" s="5" t="s">
        <v>12</v>
      </c>
      <c r="J104" s="15"/>
      <c r="K104" s="15"/>
    </row>
    <row r="105" spans="1:11" ht="15.75" thickBot="1" x14ac:dyDescent="0.3">
      <c r="A105" s="9" t="s">
        <v>214</v>
      </c>
      <c r="B105" s="10" t="s">
        <v>15</v>
      </c>
      <c r="C105" s="10">
        <v>94968</v>
      </c>
      <c r="D105" s="11">
        <v>46023</v>
      </c>
      <c r="E105" s="12">
        <v>0.1011</v>
      </c>
      <c r="F105" s="106"/>
      <c r="G105" s="13">
        <v>0.1174</v>
      </c>
      <c r="H105" s="9" t="s">
        <v>222</v>
      </c>
      <c r="I105" s="10" t="s">
        <v>12</v>
      </c>
      <c r="J105" s="15"/>
      <c r="K105" s="15"/>
    </row>
    <row r="106" spans="1:11" x14ac:dyDescent="0.25">
      <c r="A106" s="4" t="s">
        <v>223</v>
      </c>
      <c r="B106" s="5" t="s">
        <v>224</v>
      </c>
      <c r="C106" s="5">
        <v>36239</v>
      </c>
      <c r="D106" s="6">
        <v>46023</v>
      </c>
      <c r="E106" s="7">
        <v>0.2298</v>
      </c>
      <c r="F106" s="107">
        <v>0.25040000000000001</v>
      </c>
      <c r="G106" s="8">
        <v>0.2384</v>
      </c>
      <c r="H106" s="4" t="s">
        <v>225</v>
      </c>
      <c r="I106" s="5" t="s">
        <v>12</v>
      </c>
      <c r="J106" s="15"/>
      <c r="K106" s="15"/>
    </row>
    <row r="107" spans="1:11" x14ac:dyDescent="0.25">
      <c r="A107" s="4" t="s">
        <v>223</v>
      </c>
      <c r="B107" s="5" t="s">
        <v>226</v>
      </c>
      <c r="C107" s="5">
        <v>73891</v>
      </c>
      <c r="D107" s="6">
        <v>46023</v>
      </c>
      <c r="E107" s="7">
        <v>0.1512</v>
      </c>
      <c r="F107" s="105"/>
      <c r="G107" s="8">
        <v>0.16309999999999999</v>
      </c>
      <c r="H107" s="4" t="s">
        <v>227</v>
      </c>
      <c r="I107" s="5" t="s">
        <v>12</v>
      </c>
      <c r="J107" s="15"/>
      <c r="K107" s="15"/>
    </row>
    <row r="108" spans="1:11" ht="15.75" thickBot="1" x14ac:dyDescent="0.3">
      <c r="A108" s="9" t="s">
        <v>223</v>
      </c>
      <c r="B108" s="10" t="s">
        <v>228</v>
      </c>
      <c r="C108" s="10">
        <v>72001</v>
      </c>
      <c r="D108" s="11">
        <v>46023</v>
      </c>
      <c r="E108" s="12">
        <v>0.37019999999999997</v>
      </c>
      <c r="F108" s="106"/>
      <c r="G108" s="13">
        <v>0.37019999999999997</v>
      </c>
      <c r="H108" s="9" t="s">
        <v>229</v>
      </c>
      <c r="I108" s="10" t="s">
        <v>12</v>
      </c>
      <c r="J108" s="15"/>
      <c r="K108" s="15"/>
    </row>
    <row r="109" spans="1:11" x14ac:dyDescent="0.25">
      <c r="A109" s="4" t="s">
        <v>230</v>
      </c>
      <c r="B109" s="5" t="s">
        <v>231</v>
      </c>
      <c r="C109" s="14">
        <v>90787</v>
      </c>
      <c r="D109" s="6">
        <v>46023</v>
      </c>
      <c r="E109" s="7">
        <v>0.2311</v>
      </c>
      <c r="F109" s="107">
        <v>0.2626</v>
      </c>
      <c r="G109" s="8">
        <v>0.2311</v>
      </c>
      <c r="H109" s="4" t="s">
        <v>232</v>
      </c>
      <c r="I109" s="5" t="s">
        <v>12</v>
      </c>
      <c r="J109" s="15"/>
      <c r="K109" s="15"/>
    </row>
    <row r="110" spans="1:11" x14ac:dyDescent="0.25">
      <c r="A110" s="4" t="s">
        <v>230</v>
      </c>
      <c r="B110" s="5" t="s">
        <v>233</v>
      </c>
      <c r="C110" s="5">
        <v>19636</v>
      </c>
      <c r="D110" s="6">
        <v>46023</v>
      </c>
      <c r="E110" s="7">
        <v>0.23250000000000001</v>
      </c>
      <c r="F110" s="105"/>
      <c r="G110" s="8">
        <v>0.249</v>
      </c>
      <c r="H110" s="4" t="s">
        <v>234</v>
      </c>
      <c r="I110" s="5" t="s">
        <v>12</v>
      </c>
      <c r="J110" s="15"/>
      <c r="K110" s="15"/>
    </row>
    <row r="111" spans="1:11" x14ac:dyDescent="0.25">
      <c r="A111" s="4" t="s">
        <v>230</v>
      </c>
      <c r="B111" s="5" t="s">
        <v>235</v>
      </c>
      <c r="C111" s="5">
        <v>97176</v>
      </c>
      <c r="D111" s="6">
        <v>46023</v>
      </c>
      <c r="E111" s="7">
        <v>0.35399999999999998</v>
      </c>
      <c r="F111" s="105"/>
      <c r="G111" s="8">
        <v>0.32490000000000002</v>
      </c>
      <c r="H111" s="4" t="s">
        <v>236</v>
      </c>
      <c r="I111" s="5" t="s">
        <v>12</v>
      </c>
      <c r="J111" s="15"/>
      <c r="K111" s="15"/>
    </row>
    <row r="112" spans="1:11" ht="15.75" thickBot="1" x14ac:dyDescent="0.3">
      <c r="A112" s="9" t="s">
        <v>230</v>
      </c>
      <c r="B112" s="10" t="s">
        <v>15</v>
      </c>
      <c r="C112" s="10">
        <v>69842</v>
      </c>
      <c r="D112" s="11">
        <v>46023</v>
      </c>
      <c r="E112" s="12">
        <v>0.2326</v>
      </c>
      <c r="F112" s="106"/>
      <c r="G112" s="13">
        <v>0.23019999999999999</v>
      </c>
      <c r="H112" s="9" t="s">
        <v>237</v>
      </c>
      <c r="I112" s="10" t="s">
        <v>12</v>
      </c>
      <c r="J112" s="15"/>
      <c r="K112" s="15"/>
    </row>
    <row r="113" spans="1:11" x14ac:dyDescent="0.25">
      <c r="A113" s="4" t="s">
        <v>238</v>
      </c>
      <c r="B113" s="5" t="s">
        <v>239</v>
      </c>
      <c r="C113" s="5">
        <v>48396</v>
      </c>
      <c r="D113" s="6">
        <v>46023</v>
      </c>
      <c r="E113" s="7">
        <v>0.23150000000000001</v>
      </c>
      <c r="F113" s="107">
        <v>0.25190000000000001</v>
      </c>
      <c r="G113" s="8">
        <v>0.23530000000000001</v>
      </c>
      <c r="H113" s="4" t="s">
        <v>240</v>
      </c>
      <c r="I113" s="5" t="s">
        <v>12</v>
      </c>
      <c r="J113" s="15"/>
      <c r="K113" s="15"/>
    </row>
    <row r="114" spans="1:11" x14ac:dyDescent="0.25">
      <c r="A114" s="4" t="s">
        <v>238</v>
      </c>
      <c r="B114" s="5" t="s">
        <v>241</v>
      </c>
      <c r="C114" s="5">
        <v>96667</v>
      </c>
      <c r="D114" s="6">
        <v>46023</v>
      </c>
      <c r="E114" s="7">
        <v>0.21190000000000001</v>
      </c>
      <c r="F114" s="105"/>
      <c r="G114" s="8">
        <v>0.21190000000000001</v>
      </c>
      <c r="H114" s="4" t="s">
        <v>242</v>
      </c>
      <c r="I114" s="5" t="s">
        <v>12</v>
      </c>
      <c r="J114" s="15"/>
      <c r="K114" s="15"/>
    </row>
    <row r="115" spans="1:11" x14ac:dyDescent="0.25">
      <c r="A115" s="4" t="s">
        <v>238</v>
      </c>
      <c r="B115" s="5" t="s">
        <v>243</v>
      </c>
      <c r="C115" s="5">
        <v>11593</v>
      </c>
      <c r="D115" s="6">
        <v>46023</v>
      </c>
      <c r="E115" s="7">
        <v>0.18720000000000001</v>
      </c>
      <c r="F115" s="105"/>
      <c r="G115" s="8">
        <v>0.18720000000000001</v>
      </c>
      <c r="H115" s="4" t="s">
        <v>244</v>
      </c>
      <c r="I115" s="5" t="s">
        <v>12</v>
      </c>
      <c r="J115" s="15"/>
      <c r="K115" s="15"/>
    </row>
    <row r="116" spans="1:11" x14ac:dyDescent="0.25">
      <c r="A116" s="4" t="s">
        <v>238</v>
      </c>
      <c r="B116" s="5" t="s">
        <v>245</v>
      </c>
      <c r="C116" s="5">
        <v>33653</v>
      </c>
      <c r="D116" s="6">
        <v>46023</v>
      </c>
      <c r="E116" s="7">
        <v>0.30130000000000001</v>
      </c>
      <c r="F116" s="105"/>
      <c r="G116" s="8">
        <v>0.2651</v>
      </c>
      <c r="H116" s="4" t="s">
        <v>246</v>
      </c>
      <c r="I116" s="5" t="s">
        <v>12</v>
      </c>
      <c r="J116" s="15"/>
      <c r="K116" s="15"/>
    </row>
    <row r="117" spans="1:11" ht="15.75" thickBot="1" x14ac:dyDescent="0.3">
      <c r="A117" s="9" t="s">
        <v>238</v>
      </c>
      <c r="B117" s="10" t="s">
        <v>247</v>
      </c>
      <c r="C117" s="10">
        <v>54879</v>
      </c>
      <c r="D117" s="11">
        <v>46023</v>
      </c>
      <c r="E117" s="12">
        <v>0.32740000000000002</v>
      </c>
      <c r="F117" s="106"/>
      <c r="G117" s="13">
        <v>0.32740000000000002</v>
      </c>
      <c r="H117" s="9" t="s">
        <v>248</v>
      </c>
      <c r="I117" s="10" t="s">
        <v>12</v>
      </c>
      <c r="J117" s="15"/>
      <c r="K117" s="15"/>
    </row>
    <row r="118" spans="1:11" x14ac:dyDescent="0.25">
      <c r="A118" s="4" t="s">
        <v>249</v>
      </c>
      <c r="B118" s="5" t="s">
        <v>104</v>
      </c>
      <c r="C118" s="5">
        <v>28137</v>
      </c>
      <c r="D118" s="6">
        <v>46023</v>
      </c>
      <c r="E118" s="7">
        <v>0.18740000000000001</v>
      </c>
      <c r="F118" s="107">
        <v>0.14169999999999999</v>
      </c>
      <c r="G118" s="8">
        <v>0.1361</v>
      </c>
      <c r="H118" s="4" t="s">
        <v>250</v>
      </c>
      <c r="I118" s="5" t="s">
        <v>12</v>
      </c>
      <c r="J118" s="15"/>
      <c r="K118" s="15"/>
    </row>
    <row r="119" spans="1:11" x14ac:dyDescent="0.25">
      <c r="A119" s="4" t="s">
        <v>249</v>
      </c>
      <c r="B119" s="5" t="s">
        <v>251</v>
      </c>
      <c r="C119" s="5">
        <v>45532</v>
      </c>
      <c r="D119" s="6">
        <v>46023</v>
      </c>
      <c r="E119" s="7">
        <v>0.14249999999999999</v>
      </c>
      <c r="F119" s="105"/>
      <c r="G119" s="8">
        <v>0.13100000000000001</v>
      </c>
      <c r="H119" s="4" t="s">
        <v>252</v>
      </c>
      <c r="I119" s="5" t="s">
        <v>12</v>
      </c>
      <c r="J119" s="15"/>
      <c r="K119" s="15"/>
    </row>
    <row r="120" spans="1:11" x14ac:dyDescent="0.25">
      <c r="A120" s="4" t="s">
        <v>249</v>
      </c>
      <c r="B120" s="5" t="s">
        <v>106</v>
      </c>
      <c r="C120" s="5">
        <v>94084</v>
      </c>
      <c r="D120" s="6">
        <v>46023</v>
      </c>
      <c r="E120" s="7">
        <v>0.14230000000000001</v>
      </c>
      <c r="F120" s="105"/>
      <c r="G120" s="8">
        <v>0.1308</v>
      </c>
      <c r="H120" s="4" t="s">
        <v>252</v>
      </c>
      <c r="I120" s="5" t="s">
        <v>12</v>
      </c>
      <c r="J120" s="15"/>
      <c r="K120" s="15"/>
    </row>
    <row r="121" spans="1:11" x14ac:dyDescent="0.25">
      <c r="A121" s="4" t="s">
        <v>249</v>
      </c>
      <c r="B121" s="5" t="s">
        <v>253</v>
      </c>
      <c r="C121" s="5">
        <v>90296</v>
      </c>
      <c r="D121" s="6">
        <v>46023</v>
      </c>
      <c r="E121" s="7">
        <v>0.1182</v>
      </c>
      <c r="F121" s="105"/>
      <c r="G121" s="8">
        <v>9.5500000000000002E-2</v>
      </c>
      <c r="H121" s="4" t="s">
        <v>254</v>
      </c>
      <c r="I121" s="5" t="s">
        <v>12</v>
      </c>
      <c r="J121" s="15"/>
      <c r="K121" s="15"/>
    </row>
    <row r="122" spans="1:11" x14ac:dyDescent="0.25">
      <c r="A122" s="4" t="s">
        <v>249</v>
      </c>
      <c r="B122" s="5" t="s">
        <v>255</v>
      </c>
      <c r="C122" s="5">
        <v>72375</v>
      </c>
      <c r="D122" s="6">
        <v>46023</v>
      </c>
      <c r="E122" s="7">
        <v>0.186</v>
      </c>
      <c r="F122" s="105"/>
      <c r="G122" s="8">
        <v>0.15179999999999999</v>
      </c>
      <c r="H122" s="4" t="s">
        <v>256</v>
      </c>
      <c r="I122" s="5" t="s">
        <v>12</v>
      </c>
      <c r="J122" s="15"/>
      <c r="K122" s="15"/>
    </row>
    <row r="123" spans="1:11" ht="15.75" thickBot="1" x14ac:dyDescent="0.3">
      <c r="A123" s="9" t="s">
        <v>249</v>
      </c>
      <c r="B123" s="10" t="s">
        <v>257</v>
      </c>
      <c r="C123" s="10">
        <v>72545</v>
      </c>
      <c r="D123" s="11">
        <v>46023</v>
      </c>
      <c r="E123" s="12">
        <v>7.3499999999999996E-2</v>
      </c>
      <c r="F123" s="52"/>
      <c r="G123" s="13">
        <v>9.9900000000000003E-2</v>
      </c>
      <c r="H123" s="9" t="s">
        <v>258</v>
      </c>
      <c r="I123" s="10" t="s">
        <v>12</v>
      </c>
      <c r="J123" s="15"/>
      <c r="K123" s="15"/>
    </row>
    <row r="124" spans="1:11" x14ac:dyDescent="0.25">
      <c r="A124" s="4" t="s">
        <v>259</v>
      </c>
      <c r="B124" s="5" t="s">
        <v>260</v>
      </c>
      <c r="C124" s="5">
        <v>42690</v>
      </c>
      <c r="D124" s="6">
        <v>46023</v>
      </c>
      <c r="E124" s="7">
        <v>0.1242</v>
      </c>
      <c r="F124" s="107">
        <v>0.1113</v>
      </c>
      <c r="G124" s="8">
        <v>0.1145</v>
      </c>
      <c r="H124" s="4" t="s">
        <v>261</v>
      </c>
      <c r="I124" s="5" t="s">
        <v>12</v>
      </c>
      <c r="J124" s="15"/>
      <c r="K124" s="15"/>
    </row>
    <row r="125" spans="1:11" x14ac:dyDescent="0.25">
      <c r="A125" s="4" t="s">
        <v>259</v>
      </c>
      <c r="B125" s="5" t="s">
        <v>262</v>
      </c>
      <c r="C125" s="5">
        <v>88806</v>
      </c>
      <c r="D125" s="6">
        <v>46023</v>
      </c>
      <c r="E125" s="7">
        <v>7.0999999999999994E-2</v>
      </c>
      <c r="F125" s="105"/>
      <c r="G125" s="8">
        <v>7.1900000000000006E-2</v>
      </c>
      <c r="H125" s="4" t="s">
        <v>263</v>
      </c>
      <c r="I125" s="5" t="s">
        <v>12</v>
      </c>
      <c r="J125" s="15"/>
      <c r="K125" s="15"/>
    </row>
    <row r="126" spans="1:11" x14ac:dyDescent="0.25">
      <c r="A126" s="4" t="s">
        <v>259</v>
      </c>
      <c r="B126" s="5" t="s">
        <v>241</v>
      </c>
      <c r="C126" s="5">
        <v>36046</v>
      </c>
      <c r="D126" s="6">
        <v>46023</v>
      </c>
      <c r="E126" s="7">
        <v>0.15459999999999999</v>
      </c>
      <c r="F126" s="105"/>
      <c r="G126" s="8">
        <v>0.15890000000000001</v>
      </c>
      <c r="H126" s="4" t="s">
        <v>264</v>
      </c>
      <c r="I126" s="5" t="s">
        <v>12</v>
      </c>
      <c r="J126" s="15"/>
      <c r="K126" s="15"/>
    </row>
    <row r="127" spans="1:11" x14ac:dyDescent="0.25">
      <c r="A127" s="4" t="s">
        <v>259</v>
      </c>
      <c r="B127" s="5" t="s">
        <v>265</v>
      </c>
      <c r="C127" s="5">
        <v>34484</v>
      </c>
      <c r="D127" s="6">
        <v>46023</v>
      </c>
      <c r="E127" s="7">
        <v>0.1202</v>
      </c>
      <c r="F127" s="105"/>
      <c r="G127" s="8">
        <v>0.1202</v>
      </c>
      <c r="H127" s="4" t="s">
        <v>266</v>
      </c>
      <c r="I127" s="5" t="s">
        <v>12</v>
      </c>
      <c r="J127" s="15"/>
      <c r="K127" s="15"/>
    </row>
    <row r="128" spans="1:11" x14ac:dyDescent="0.25">
      <c r="A128" s="4" t="s">
        <v>259</v>
      </c>
      <c r="B128" s="5" t="s">
        <v>267</v>
      </c>
      <c r="C128" s="15">
        <v>41304</v>
      </c>
      <c r="D128" s="6">
        <v>46023</v>
      </c>
      <c r="E128" s="7">
        <v>7.0199999999999999E-2</v>
      </c>
      <c r="F128" s="105"/>
      <c r="G128" s="8">
        <v>7.46E-2</v>
      </c>
      <c r="H128" s="4" t="s">
        <v>268</v>
      </c>
      <c r="I128" s="5" t="s">
        <v>12</v>
      </c>
      <c r="J128" s="15"/>
      <c r="K128" s="15"/>
    </row>
    <row r="129" spans="1:11" x14ac:dyDescent="0.25">
      <c r="A129" s="4" t="s">
        <v>259</v>
      </c>
      <c r="B129" s="5" t="s">
        <v>269</v>
      </c>
      <c r="C129" s="5">
        <v>59763</v>
      </c>
      <c r="D129" s="6">
        <v>46023</v>
      </c>
      <c r="E129" s="7">
        <v>0.11219999999999999</v>
      </c>
      <c r="F129" s="105"/>
      <c r="G129" s="8">
        <v>0.1162</v>
      </c>
      <c r="H129" s="4" t="s">
        <v>270</v>
      </c>
      <c r="I129" s="5" t="s">
        <v>12</v>
      </c>
      <c r="J129" s="15"/>
      <c r="K129" s="15"/>
    </row>
    <row r="130" spans="1:11" x14ac:dyDescent="0.25">
      <c r="A130" s="4" t="s">
        <v>259</v>
      </c>
      <c r="B130" s="5" t="s">
        <v>15</v>
      </c>
      <c r="C130" s="18">
        <v>31779</v>
      </c>
      <c r="D130" s="6">
        <v>46023</v>
      </c>
      <c r="E130" s="7">
        <v>9.4399999999999998E-2</v>
      </c>
      <c r="F130" s="105"/>
      <c r="G130" s="8">
        <v>9.5699999999999993E-2</v>
      </c>
      <c r="H130" s="4" t="s">
        <v>271</v>
      </c>
      <c r="I130" s="5" t="s">
        <v>12</v>
      </c>
      <c r="J130" s="15"/>
      <c r="K130" s="15"/>
    </row>
    <row r="131" spans="1:11" ht="15.75" thickBot="1" x14ac:dyDescent="0.3">
      <c r="A131" s="9" t="s">
        <v>259</v>
      </c>
      <c r="B131" s="10" t="s">
        <v>272</v>
      </c>
      <c r="C131" s="53">
        <v>82569</v>
      </c>
      <c r="D131" s="11">
        <v>46023</v>
      </c>
      <c r="E131" s="12">
        <v>0.14369999999999999</v>
      </c>
      <c r="F131" s="106"/>
      <c r="G131" s="13">
        <v>0.1363</v>
      </c>
      <c r="H131" s="9" t="s">
        <v>273</v>
      </c>
      <c r="I131" s="10" t="s">
        <v>12</v>
      </c>
      <c r="J131" s="15"/>
      <c r="K131" s="15"/>
    </row>
    <row r="132" spans="1:11" x14ac:dyDescent="0.25">
      <c r="A132" s="4" t="s">
        <v>274</v>
      </c>
      <c r="B132" s="5" t="s">
        <v>275</v>
      </c>
      <c r="C132" s="14">
        <v>67577</v>
      </c>
      <c r="D132" s="6">
        <v>46023</v>
      </c>
      <c r="E132" s="7">
        <v>0.13250000000000001</v>
      </c>
      <c r="F132" s="107">
        <v>0.16009999999999999</v>
      </c>
      <c r="G132" s="8">
        <v>0.13250000000000001</v>
      </c>
      <c r="H132" s="4" t="s">
        <v>276</v>
      </c>
      <c r="I132" s="5" t="s">
        <v>12</v>
      </c>
      <c r="J132" s="15"/>
      <c r="K132" s="15"/>
    </row>
    <row r="133" spans="1:11" x14ac:dyDescent="0.25">
      <c r="A133" s="4" t="s">
        <v>274</v>
      </c>
      <c r="B133" s="5" t="s">
        <v>277</v>
      </c>
      <c r="C133" s="5">
        <v>98185</v>
      </c>
      <c r="D133" s="6">
        <v>46023</v>
      </c>
      <c r="E133" s="7">
        <v>0.16300000000000001</v>
      </c>
      <c r="F133" s="105"/>
      <c r="G133" s="17">
        <v>0.23250000000000001</v>
      </c>
      <c r="H133" s="4" t="s">
        <v>278</v>
      </c>
      <c r="I133" s="5" t="s">
        <v>12</v>
      </c>
      <c r="J133" s="15"/>
      <c r="K133" s="15"/>
    </row>
    <row r="134" spans="1:11" x14ac:dyDescent="0.25">
      <c r="A134" s="4" t="s">
        <v>274</v>
      </c>
      <c r="B134" s="5" t="s">
        <v>279</v>
      </c>
      <c r="C134" s="5">
        <v>15560</v>
      </c>
      <c r="D134" s="6">
        <v>46023</v>
      </c>
      <c r="E134" s="7">
        <v>0.18149999999999999</v>
      </c>
      <c r="F134" s="105"/>
      <c r="G134" s="17">
        <v>0.24010000000000001</v>
      </c>
      <c r="H134" s="4" t="s">
        <v>280</v>
      </c>
      <c r="I134" s="5" t="s">
        <v>12</v>
      </c>
      <c r="J134" s="15"/>
      <c r="K134" s="15"/>
    </row>
    <row r="135" spans="1:11" x14ac:dyDescent="0.25">
      <c r="A135" s="4" t="s">
        <v>274</v>
      </c>
      <c r="B135" s="5" t="s">
        <v>281</v>
      </c>
      <c r="C135" s="5">
        <v>40356</v>
      </c>
      <c r="D135" s="6">
        <v>46023</v>
      </c>
      <c r="E135" s="7">
        <v>0.1696</v>
      </c>
      <c r="F135" s="105"/>
      <c r="G135" s="17">
        <v>0.22320000000000001</v>
      </c>
      <c r="H135" s="4" t="s">
        <v>282</v>
      </c>
      <c r="I135" s="5" t="s">
        <v>12</v>
      </c>
      <c r="J135" s="15"/>
      <c r="K135" s="15"/>
    </row>
    <row r="136" spans="1:11" x14ac:dyDescent="0.25">
      <c r="A136" s="4" t="s">
        <v>274</v>
      </c>
      <c r="B136" s="5" t="s">
        <v>283</v>
      </c>
      <c r="C136" s="5">
        <v>37651</v>
      </c>
      <c r="D136" s="6">
        <v>46023</v>
      </c>
      <c r="E136" s="7">
        <v>0.12709999999999999</v>
      </c>
      <c r="F136" s="105"/>
      <c r="G136" s="8">
        <v>0.12709999999999999</v>
      </c>
      <c r="H136" s="4" t="s">
        <v>284</v>
      </c>
      <c r="I136" s="5" t="s">
        <v>12</v>
      </c>
      <c r="J136" s="15"/>
      <c r="K136" s="15"/>
    </row>
    <row r="137" spans="1:11" x14ac:dyDescent="0.25">
      <c r="A137" s="4" t="s">
        <v>274</v>
      </c>
      <c r="B137" s="5" t="s">
        <v>285</v>
      </c>
      <c r="C137" s="5">
        <v>74917</v>
      </c>
      <c r="D137" s="6">
        <v>46023</v>
      </c>
      <c r="E137" s="7">
        <v>0.192</v>
      </c>
      <c r="F137" s="105"/>
      <c r="G137" s="8">
        <v>0.192</v>
      </c>
      <c r="H137" s="4" t="s">
        <v>286</v>
      </c>
      <c r="I137" s="5" t="s">
        <v>12</v>
      </c>
      <c r="J137" s="15"/>
      <c r="K137" s="15"/>
    </row>
    <row r="138" spans="1:11" x14ac:dyDescent="0.25">
      <c r="A138" s="4" t="s">
        <v>274</v>
      </c>
      <c r="B138" s="5" t="s">
        <v>287</v>
      </c>
      <c r="C138" s="5">
        <v>58594</v>
      </c>
      <c r="D138" s="6">
        <v>46023</v>
      </c>
      <c r="E138" s="7">
        <v>0.16889999999999999</v>
      </c>
      <c r="F138" s="105"/>
      <c r="G138" s="8">
        <v>0.16889999999999999</v>
      </c>
      <c r="H138" s="4" t="s">
        <v>288</v>
      </c>
      <c r="I138" s="5" t="s">
        <v>12</v>
      </c>
      <c r="J138" s="15"/>
      <c r="K138" s="15"/>
    </row>
    <row r="139" spans="1:11" x14ac:dyDescent="0.25">
      <c r="A139" s="4" t="s">
        <v>274</v>
      </c>
      <c r="B139" s="5" t="s">
        <v>289</v>
      </c>
      <c r="C139" s="5">
        <v>40047</v>
      </c>
      <c r="D139" s="6">
        <v>46023</v>
      </c>
      <c r="E139" s="7">
        <v>0.18609999999999999</v>
      </c>
      <c r="F139" s="105"/>
      <c r="G139" s="8">
        <v>0.1832</v>
      </c>
      <c r="H139" s="4" t="s">
        <v>290</v>
      </c>
      <c r="I139" s="5" t="s">
        <v>12</v>
      </c>
      <c r="J139" s="15"/>
      <c r="K139" s="15"/>
    </row>
    <row r="140" spans="1:11" x14ac:dyDescent="0.25">
      <c r="A140" s="4" t="s">
        <v>274</v>
      </c>
      <c r="B140" s="5" t="s">
        <v>208</v>
      </c>
      <c r="C140" s="5">
        <v>77739</v>
      </c>
      <c r="D140" s="6">
        <v>46023</v>
      </c>
      <c r="E140" s="7">
        <v>4.3999999999999997E-2</v>
      </c>
      <c r="F140" s="105"/>
      <c r="G140" s="17">
        <v>9.3299999999999994E-2</v>
      </c>
      <c r="H140" s="4" t="s">
        <v>291</v>
      </c>
      <c r="I140" s="5" t="s">
        <v>12</v>
      </c>
      <c r="J140" s="15"/>
      <c r="K140" s="15"/>
    </row>
    <row r="141" spans="1:11" x14ac:dyDescent="0.25">
      <c r="A141" s="4" t="s">
        <v>274</v>
      </c>
      <c r="B141" s="5" t="s">
        <v>292</v>
      </c>
      <c r="C141" s="5">
        <v>29698</v>
      </c>
      <c r="D141" s="6">
        <v>46023</v>
      </c>
      <c r="E141" s="7">
        <v>0.1439</v>
      </c>
      <c r="F141" s="105"/>
      <c r="G141" s="17">
        <v>0.19159999999999999</v>
      </c>
      <c r="H141" s="4" t="s">
        <v>293</v>
      </c>
      <c r="I141" s="5" t="s">
        <v>12</v>
      </c>
      <c r="J141" s="15"/>
      <c r="K141" s="15"/>
    </row>
    <row r="142" spans="1:11" ht="15.75" thickBot="1" x14ac:dyDescent="0.3">
      <c r="A142" s="9" t="s">
        <v>274</v>
      </c>
      <c r="B142" s="10" t="s">
        <v>294</v>
      </c>
      <c r="C142" s="10">
        <v>71667</v>
      </c>
      <c r="D142" s="11">
        <v>46023</v>
      </c>
      <c r="E142" s="12">
        <v>0.2525</v>
      </c>
      <c r="F142" s="106"/>
      <c r="G142" s="13">
        <v>0.25750000000000001</v>
      </c>
      <c r="H142" s="9" t="s">
        <v>295</v>
      </c>
      <c r="I142" s="10" t="s">
        <v>12</v>
      </c>
      <c r="J142" s="15"/>
      <c r="K142" s="15"/>
    </row>
    <row r="143" spans="1:11" x14ac:dyDescent="0.25">
      <c r="A143" s="4" t="s">
        <v>296</v>
      </c>
      <c r="B143" s="5" t="s">
        <v>297</v>
      </c>
      <c r="C143" s="18">
        <v>85654</v>
      </c>
      <c r="D143" s="6">
        <v>46023</v>
      </c>
      <c r="E143" s="7">
        <v>0.18909999999999999</v>
      </c>
      <c r="F143" s="107">
        <v>0.1694</v>
      </c>
      <c r="G143" s="8">
        <v>0.1915</v>
      </c>
      <c r="H143" s="4" t="s">
        <v>298</v>
      </c>
      <c r="I143" s="5" t="s">
        <v>12</v>
      </c>
      <c r="J143" s="15"/>
      <c r="K143" s="15"/>
    </row>
    <row r="144" spans="1:11" x14ac:dyDescent="0.25">
      <c r="A144" s="4" t="s">
        <v>296</v>
      </c>
      <c r="B144" s="5" t="s">
        <v>299</v>
      </c>
      <c r="C144" s="5">
        <v>79888</v>
      </c>
      <c r="D144" s="6">
        <v>46023</v>
      </c>
      <c r="E144" s="7">
        <v>0.1313</v>
      </c>
      <c r="F144" s="105"/>
      <c r="G144" s="8">
        <v>0.1331</v>
      </c>
      <c r="H144" s="4" t="s">
        <v>300</v>
      </c>
      <c r="I144" s="5" t="s">
        <v>12</v>
      </c>
      <c r="J144" s="15"/>
      <c r="K144" s="15"/>
    </row>
    <row r="145" spans="1:11" x14ac:dyDescent="0.25">
      <c r="A145" s="4" t="s">
        <v>296</v>
      </c>
      <c r="B145" s="5" t="s">
        <v>301</v>
      </c>
      <c r="C145" s="5">
        <v>57129</v>
      </c>
      <c r="D145" s="6">
        <v>46023</v>
      </c>
      <c r="E145" s="7">
        <v>0.1663</v>
      </c>
      <c r="F145" s="105"/>
      <c r="G145" s="8">
        <v>0.18729999999999999</v>
      </c>
      <c r="H145" s="4" t="s">
        <v>302</v>
      </c>
      <c r="I145" s="5" t="s">
        <v>12</v>
      </c>
      <c r="J145" s="15"/>
      <c r="K145" s="15"/>
    </row>
    <row r="146" spans="1:11" x14ac:dyDescent="0.25">
      <c r="A146" s="4" t="s">
        <v>296</v>
      </c>
      <c r="B146" s="5" t="s">
        <v>206</v>
      </c>
      <c r="C146" s="5">
        <v>31616</v>
      </c>
      <c r="D146" s="6">
        <v>46023</v>
      </c>
      <c r="E146" s="7">
        <v>0.26029999999999998</v>
      </c>
      <c r="F146" s="105"/>
      <c r="G146" s="8">
        <v>0.30759999999999998</v>
      </c>
      <c r="H146" s="4" t="s">
        <v>303</v>
      </c>
      <c r="I146" s="5" t="s">
        <v>12</v>
      </c>
      <c r="J146" s="15"/>
      <c r="K146" s="15"/>
    </row>
    <row r="147" spans="1:11" x14ac:dyDescent="0.25">
      <c r="A147" s="4" t="s">
        <v>296</v>
      </c>
      <c r="B147" s="5" t="s">
        <v>304</v>
      </c>
      <c r="C147" s="5">
        <v>70373</v>
      </c>
      <c r="D147" s="6">
        <v>46023</v>
      </c>
      <c r="E147" s="7">
        <v>7.1499999999999994E-2</v>
      </c>
      <c r="F147" s="105"/>
      <c r="G147" s="8">
        <v>7.3999999999999996E-2</v>
      </c>
      <c r="H147" s="4" t="s">
        <v>305</v>
      </c>
      <c r="I147" s="5" t="s">
        <v>12</v>
      </c>
      <c r="J147" s="15"/>
      <c r="K147" s="15"/>
    </row>
    <row r="148" spans="1:11" ht="15.75" thickBot="1" x14ac:dyDescent="0.3">
      <c r="A148" s="9" t="s">
        <v>296</v>
      </c>
      <c r="B148" s="10" t="s">
        <v>306</v>
      </c>
      <c r="C148" s="10">
        <v>85736</v>
      </c>
      <c r="D148" s="11">
        <v>46023</v>
      </c>
      <c r="E148" s="12">
        <v>0.19800000000000001</v>
      </c>
      <c r="F148" s="106"/>
      <c r="G148" s="50">
        <v>0.27479999999999999</v>
      </c>
      <c r="H148" s="9" t="s">
        <v>307</v>
      </c>
      <c r="I148" s="10" t="s">
        <v>12</v>
      </c>
      <c r="J148" s="15"/>
      <c r="K148" s="15"/>
    </row>
    <row r="149" spans="1:11" x14ac:dyDescent="0.25">
      <c r="A149" s="4" t="s">
        <v>308</v>
      </c>
      <c r="B149" s="5" t="s">
        <v>309</v>
      </c>
      <c r="C149" s="5">
        <v>37710</v>
      </c>
      <c r="D149" s="6">
        <v>46023</v>
      </c>
      <c r="E149" s="7">
        <v>0.38979999999999998</v>
      </c>
      <c r="F149" s="107">
        <v>0.30120000000000002</v>
      </c>
      <c r="G149" s="8">
        <v>0.38979999999999998</v>
      </c>
      <c r="H149" s="4" t="s">
        <v>310</v>
      </c>
      <c r="I149" s="5" t="s">
        <v>12</v>
      </c>
      <c r="J149" s="15"/>
      <c r="K149" s="15"/>
    </row>
    <row r="150" spans="1:11" x14ac:dyDescent="0.25">
      <c r="A150" s="4" t="s">
        <v>308</v>
      </c>
      <c r="B150" s="5" t="s">
        <v>311</v>
      </c>
      <c r="C150" s="18">
        <v>11721</v>
      </c>
      <c r="D150" s="6">
        <v>46023</v>
      </c>
      <c r="E150" s="7">
        <v>0.2334</v>
      </c>
      <c r="F150" s="105"/>
      <c r="G150" s="8">
        <v>0.2334</v>
      </c>
      <c r="H150" s="4" t="s">
        <v>312</v>
      </c>
      <c r="I150" s="5" t="s">
        <v>12</v>
      </c>
      <c r="J150" s="15"/>
      <c r="K150" s="15"/>
    </row>
    <row r="151" spans="1:11" x14ac:dyDescent="0.25">
      <c r="A151" s="4" t="s">
        <v>308</v>
      </c>
      <c r="B151" s="5" t="s">
        <v>13</v>
      </c>
      <c r="C151" s="5">
        <v>90714</v>
      </c>
      <c r="D151" s="6">
        <v>46023</v>
      </c>
      <c r="E151" s="7">
        <v>0.2157</v>
      </c>
      <c r="F151" s="105"/>
      <c r="G151" s="8">
        <v>0.2157</v>
      </c>
      <c r="H151" s="4" t="s">
        <v>313</v>
      </c>
      <c r="I151" s="5" t="s">
        <v>12</v>
      </c>
      <c r="J151" s="15"/>
      <c r="K151" s="15"/>
    </row>
    <row r="152" spans="1:11" x14ac:dyDescent="0.25">
      <c r="A152" s="4" t="s">
        <v>308</v>
      </c>
      <c r="B152" s="5" t="s">
        <v>76</v>
      </c>
      <c r="C152" s="5">
        <v>56766</v>
      </c>
      <c r="D152" s="6">
        <v>46023</v>
      </c>
      <c r="E152" s="7">
        <v>0.32990000000000003</v>
      </c>
      <c r="F152" s="105"/>
      <c r="G152" s="8">
        <v>0.3337</v>
      </c>
      <c r="H152" s="4" t="s">
        <v>314</v>
      </c>
      <c r="I152" s="5" t="s">
        <v>12</v>
      </c>
      <c r="J152" s="15"/>
      <c r="K152" s="15"/>
    </row>
    <row r="153" spans="1:11" x14ac:dyDescent="0.25">
      <c r="A153" s="4" t="s">
        <v>308</v>
      </c>
      <c r="B153" s="5" t="s">
        <v>315</v>
      </c>
      <c r="C153" s="5">
        <v>79975</v>
      </c>
      <c r="D153" s="6">
        <v>46023</v>
      </c>
      <c r="E153" s="7">
        <v>0.39029999999999998</v>
      </c>
      <c r="F153" s="105"/>
      <c r="G153" s="17">
        <v>0.59719999999999995</v>
      </c>
      <c r="H153" s="4" t="s">
        <v>316</v>
      </c>
      <c r="I153" s="5" t="s">
        <v>12</v>
      </c>
      <c r="J153" s="15"/>
      <c r="K153" s="15"/>
    </row>
    <row r="154" spans="1:11" ht="15.75" thickBot="1" x14ac:dyDescent="0.3">
      <c r="A154" s="9" t="s">
        <v>308</v>
      </c>
      <c r="B154" s="10" t="s">
        <v>317</v>
      </c>
      <c r="C154" s="10">
        <v>97560</v>
      </c>
      <c r="D154" s="11">
        <v>46023</v>
      </c>
      <c r="E154" s="12">
        <v>0.248</v>
      </c>
      <c r="F154" s="106"/>
      <c r="G154" s="50">
        <v>0.37169999999999997</v>
      </c>
      <c r="H154" s="9" t="s">
        <v>318</v>
      </c>
      <c r="I154" s="10" t="s">
        <v>12</v>
      </c>
      <c r="J154" s="15"/>
      <c r="K154" s="15"/>
    </row>
    <row r="155" spans="1:11" x14ac:dyDescent="0.25">
      <c r="A155" s="4" t="s">
        <v>319</v>
      </c>
      <c r="B155" s="5" t="s">
        <v>320</v>
      </c>
      <c r="C155" s="51">
        <v>14817</v>
      </c>
      <c r="D155" s="6">
        <v>46023</v>
      </c>
      <c r="E155" s="7">
        <v>1.9E-2</v>
      </c>
      <c r="F155" s="107">
        <v>0.15090000000000001</v>
      </c>
      <c r="G155" s="8">
        <v>1.9E-2</v>
      </c>
      <c r="H155" s="4" t="s">
        <v>321</v>
      </c>
      <c r="I155" s="5" t="s">
        <v>12</v>
      </c>
      <c r="J155" s="15"/>
      <c r="K155" s="15"/>
    </row>
    <row r="156" spans="1:11" x14ac:dyDescent="0.25">
      <c r="A156" s="4" t="s">
        <v>319</v>
      </c>
      <c r="B156" s="5" t="s">
        <v>215</v>
      </c>
      <c r="C156" s="5">
        <v>34762</v>
      </c>
      <c r="D156" s="6">
        <v>46023</v>
      </c>
      <c r="E156" s="7">
        <v>-4.2299999999999997E-2</v>
      </c>
      <c r="F156" s="105"/>
      <c r="G156" s="8">
        <v>-4.0899999999999999E-2</v>
      </c>
      <c r="H156" s="4" t="s">
        <v>322</v>
      </c>
      <c r="I156" s="5" t="s">
        <v>12</v>
      </c>
      <c r="J156" s="15"/>
      <c r="K156" s="15"/>
    </row>
    <row r="157" spans="1:11" x14ac:dyDescent="0.25">
      <c r="A157" s="4" t="s">
        <v>319</v>
      </c>
      <c r="B157" s="5" t="s">
        <v>13</v>
      </c>
      <c r="C157" s="5">
        <v>99723</v>
      </c>
      <c r="D157" s="6">
        <v>46023</v>
      </c>
      <c r="E157" s="7">
        <v>0.2437</v>
      </c>
      <c r="F157" s="105"/>
      <c r="G157" s="8">
        <v>0.2437</v>
      </c>
      <c r="H157" s="4" t="s">
        <v>323</v>
      </c>
      <c r="I157" s="5" t="s">
        <v>12</v>
      </c>
      <c r="J157" s="15"/>
      <c r="K157" s="15"/>
    </row>
    <row r="158" spans="1:11" x14ac:dyDescent="0.25">
      <c r="A158" s="4" t="s">
        <v>319</v>
      </c>
      <c r="B158" s="5" t="s">
        <v>324</v>
      </c>
      <c r="C158" s="5">
        <v>96384</v>
      </c>
      <c r="D158" s="6">
        <v>46023</v>
      </c>
      <c r="E158" s="7">
        <v>0.28510000000000002</v>
      </c>
      <c r="F158" s="105"/>
      <c r="G158" s="8">
        <v>0.30399999999999999</v>
      </c>
      <c r="H158" s="4" t="s">
        <v>325</v>
      </c>
      <c r="I158" s="5" t="s">
        <v>12</v>
      </c>
      <c r="J158" s="15"/>
      <c r="K158" s="15"/>
    </row>
    <row r="159" spans="1:11" x14ac:dyDescent="0.25">
      <c r="A159" s="4" t="s">
        <v>319</v>
      </c>
      <c r="B159" s="5" t="s">
        <v>326</v>
      </c>
      <c r="C159" s="5">
        <v>32753</v>
      </c>
      <c r="D159" s="6">
        <v>46023</v>
      </c>
      <c r="E159" s="7">
        <v>0.21229999999999999</v>
      </c>
      <c r="F159" s="105"/>
      <c r="G159" s="8">
        <v>0.22670000000000001</v>
      </c>
      <c r="H159" s="4" t="s">
        <v>327</v>
      </c>
      <c r="I159" s="5" t="s">
        <v>12</v>
      </c>
      <c r="J159" s="15"/>
      <c r="K159" s="15"/>
    </row>
    <row r="160" spans="1:11" x14ac:dyDescent="0.25">
      <c r="A160" s="4" t="s">
        <v>319</v>
      </c>
      <c r="B160" s="5" t="s">
        <v>206</v>
      </c>
      <c r="C160" s="5">
        <v>53461</v>
      </c>
      <c r="D160" s="6">
        <v>46023</v>
      </c>
      <c r="E160" s="7">
        <v>0.29189999999999999</v>
      </c>
      <c r="F160" s="105"/>
      <c r="G160" s="8">
        <v>0.30199999999999999</v>
      </c>
      <c r="H160" s="4" t="s">
        <v>328</v>
      </c>
      <c r="I160" s="5" t="s">
        <v>12</v>
      </c>
      <c r="J160" s="15"/>
      <c r="K160" s="15"/>
    </row>
    <row r="161" spans="1:11" x14ac:dyDescent="0.25">
      <c r="A161" s="4" t="s">
        <v>319</v>
      </c>
      <c r="B161" s="5" t="s">
        <v>208</v>
      </c>
      <c r="C161" s="5">
        <v>69512</v>
      </c>
      <c r="D161" s="6">
        <v>46023</v>
      </c>
      <c r="E161" s="7">
        <v>0.1565</v>
      </c>
      <c r="F161" s="105"/>
      <c r="G161" s="8">
        <v>0.15690000000000001</v>
      </c>
      <c r="H161" s="4" t="s">
        <v>329</v>
      </c>
      <c r="I161" s="5" t="s">
        <v>12</v>
      </c>
      <c r="J161" s="15"/>
      <c r="K161" s="15"/>
    </row>
    <row r="162" spans="1:11" x14ac:dyDescent="0.25">
      <c r="A162" s="4" t="s">
        <v>319</v>
      </c>
      <c r="B162" s="5" t="s">
        <v>330</v>
      </c>
      <c r="C162" s="5">
        <v>47840</v>
      </c>
      <c r="D162" s="6">
        <v>46023</v>
      </c>
      <c r="E162" s="7">
        <v>4.5600000000000002E-2</v>
      </c>
      <c r="F162" s="105"/>
      <c r="G162" s="8">
        <v>5.3499999999999999E-2</v>
      </c>
      <c r="H162" s="4" t="s">
        <v>331</v>
      </c>
      <c r="I162" s="5" t="s">
        <v>12</v>
      </c>
      <c r="J162" s="15"/>
      <c r="K162" s="15"/>
    </row>
    <row r="163" spans="1:11" ht="15.75" thickBot="1" x14ac:dyDescent="0.3">
      <c r="A163" s="9" t="s">
        <v>319</v>
      </c>
      <c r="B163" s="10" t="s">
        <v>15</v>
      </c>
      <c r="C163" s="10">
        <v>95426</v>
      </c>
      <c r="D163" s="11">
        <v>46023</v>
      </c>
      <c r="E163" s="12">
        <v>0.1467</v>
      </c>
      <c r="F163" s="52"/>
      <c r="G163" s="13">
        <v>0.14860000000000001</v>
      </c>
      <c r="H163" s="9" t="s">
        <v>332</v>
      </c>
      <c r="I163" s="10" t="s">
        <v>12</v>
      </c>
      <c r="J163" s="15"/>
      <c r="K163" s="15"/>
    </row>
    <row r="164" spans="1:11" x14ac:dyDescent="0.25">
      <c r="A164" s="4" t="s">
        <v>333</v>
      </c>
      <c r="B164" s="5" t="s">
        <v>334</v>
      </c>
      <c r="C164" s="14">
        <v>30751</v>
      </c>
      <c r="D164" s="6">
        <v>46023</v>
      </c>
      <c r="E164" s="7">
        <v>0.24829999999999999</v>
      </c>
      <c r="F164" s="107">
        <v>0.2034</v>
      </c>
      <c r="G164" s="8">
        <v>0.25259999999999999</v>
      </c>
      <c r="H164" s="4" t="s">
        <v>335</v>
      </c>
      <c r="I164" s="5" t="s">
        <v>12</v>
      </c>
      <c r="J164" s="15"/>
      <c r="K164" s="15"/>
    </row>
    <row r="165" spans="1:11" x14ac:dyDescent="0.25">
      <c r="A165" s="4" t="s">
        <v>333</v>
      </c>
      <c r="B165" s="5" t="s">
        <v>336</v>
      </c>
      <c r="C165" s="5">
        <v>32225</v>
      </c>
      <c r="D165" s="6">
        <v>46023</v>
      </c>
      <c r="E165" s="7">
        <v>0.25180000000000002</v>
      </c>
      <c r="F165" s="105"/>
      <c r="G165" s="8">
        <v>0.25240000000000001</v>
      </c>
      <c r="H165" s="4" t="s">
        <v>337</v>
      </c>
      <c r="I165" s="5" t="s">
        <v>12</v>
      </c>
      <c r="J165" s="15"/>
      <c r="K165" s="15"/>
    </row>
    <row r="166" spans="1:11" ht="15.75" thickBot="1" x14ac:dyDescent="0.3">
      <c r="A166" s="9" t="s">
        <v>333</v>
      </c>
      <c r="B166" s="10" t="s">
        <v>173</v>
      </c>
      <c r="C166" s="10">
        <v>23603</v>
      </c>
      <c r="D166" s="11">
        <v>46023</v>
      </c>
      <c r="E166" s="12">
        <v>0.11</v>
      </c>
      <c r="F166" s="106"/>
      <c r="G166" s="13">
        <v>0.11260000000000001</v>
      </c>
      <c r="H166" s="9" t="s">
        <v>338</v>
      </c>
      <c r="I166" s="10" t="s">
        <v>12</v>
      </c>
      <c r="J166" s="15"/>
      <c r="K166" s="15"/>
    </row>
    <row r="167" spans="1:11" x14ac:dyDescent="0.25">
      <c r="A167" s="4" t="s">
        <v>339</v>
      </c>
      <c r="B167" s="5" t="s">
        <v>15</v>
      </c>
      <c r="C167" s="5">
        <v>29678</v>
      </c>
      <c r="D167" s="6">
        <v>46023</v>
      </c>
      <c r="E167" s="7">
        <v>0.25030000000000002</v>
      </c>
      <c r="F167" s="107">
        <v>0.2268</v>
      </c>
      <c r="G167" s="17">
        <v>0.3034</v>
      </c>
      <c r="H167" s="4" t="s">
        <v>340</v>
      </c>
      <c r="I167" s="5" t="s">
        <v>12</v>
      </c>
      <c r="J167" s="15"/>
      <c r="K167" s="15"/>
    </row>
    <row r="168" spans="1:11" x14ac:dyDescent="0.25">
      <c r="A168" s="4" t="s">
        <v>339</v>
      </c>
      <c r="B168" s="5" t="s">
        <v>208</v>
      </c>
      <c r="C168" s="5">
        <v>20305</v>
      </c>
      <c r="D168" s="6">
        <v>46023</v>
      </c>
      <c r="E168" s="7">
        <v>8.9399999999999993E-2</v>
      </c>
      <c r="F168" s="105"/>
      <c r="G168" s="17">
        <v>0.19689999999999999</v>
      </c>
      <c r="H168" s="4" t="s">
        <v>341</v>
      </c>
      <c r="I168" s="5" t="s">
        <v>12</v>
      </c>
      <c r="J168" s="15"/>
      <c r="K168" s="15"/>
    </row>
    <row r="169" spans="1:11" x14ac:dyDescent="0.25">
      <c r="A169" s="4" t="s">
        <v>339</v>
      </c>
      <c r="B169" s="5" t="s">
        <v>206</v>
      </c>
      <c r="C169" s="5">
        <v>57424</v>
      </c>
      <c r="D169" s="6">
        <v>46023</v>
      </c>
      <c r="E169" s="7">
        <v>0.3609</v>
      </c>
      <c r="F169" s="105"/>
      <c r="G169" s="8">
        <v>0.36630000000000001</v>
      </c>
      <c r="H169" s="4" t="s">
        <v>342</v>
      </c>
      <c r="I169" s="5" t="s">
        <v>12</v>
      </c>
      <c r="J169" s="15"/>
      <c r="K169" s="15"/>
    </row>
    <row r="170" spans="1:11" ht="15.75" thickBot="1" x14ac:dyDescent="0.3">
      <c r="A170" s="9" t="s">
        <v>339</v>
      </c>
      <c r="B170" s="10" t="s">
        <v>343</v>
      </c>
      <c r="C170" s="10">
        <v>73102</v>
      </c>
      <c r="D170" s="11">
        <v>46023</v>
      </c>
      <c r="E170" s="12">
        <v>0.2064</v>
      </c>
      <c r="F170" s="106"/>
      <c r="G170" s="8">
        <v>0.20649999999999999</v>
      </c>
      <c r="H170" s="9" t="s">
        <v>344</v>
      </c>
      <c r="I170" s="10" t="s">
        <v>12</v>
      </c>
      <c r="J170" s="15"/>
      <c r="K170" s="15"/>
    </row>
    <row r="171" spans="1:11" x14ac:dyDescent="0.25">
      <c r="A171" s="4" t="s">
        <v>345</v>
      </c>
      <c r="B171" s="5" t="s">
        <v>346</v>
      </c>
      <c r="C171" s="5">
        <v>95865</v>
      </c>
      <c r="D171" s="6">
        <v>46023</v>
      </c>
      <c r="E171" s="7">
        <v>0.20710000000000001</v>
      </c>
      <c r="F171" s="107">
        <v>0.1411</v>
      </c>
      <c r="G171" s="54">
        <v>0.24329999999999999</v>
      </c>
      <c r="H171" s="4" t="s">
        <v>347</v>
      </c>
      <c r="I171" s="5" t="s">
        <v>12</v>
      </c>
      <c r="J171" s="15"/>
      <c r="K171" s="15"/>
    </row>
    <row r="172" spans="1:11" x14ac:dyDescent="0.25">
      <c r="A172" s="4" t="s">
        <v>345</v>
      </c>
      <c r="B172" s="5" t="s">
        <v>348</v>
      </c>
      <c r="C172" s="5">
        <v>60156</v>
      </c>
      <c r="D172" s="6">
        <v>46023</v>
      </c>
      <c r="E172" s="7">
        <v>0.25740000000000002</v>
      </c>
      <c r="F172" s="105"/>
      <c r="G172" s="8">
        <v>0.2959</v>
      </c>
      <c r="H172" s="4" t="s">
        <v>349</v>
      </c>
      <c r="I172" s="5" t="s">
        <v>12</v>
      </c>
      <c r="J172" s="15"/>
      <c r="K172" s="15"/>
    </row>
    <row r="173" spans="1:11" x14ac:dyDescent="0.25">
      <c r="A173" s="4" t="s">
        <v>345</v>
      </c>
      <c r="B173" s="5" t="s">
        <v>350</v>
      </c>
      <c r="C173" s="5">
        <v>41094</v>
      </c>
      <c r="D173" s="6">
        <v>46023</v>
      </c>
      <c r="E173" s="7">
        <v>2.4500000000000001E-2</v>
      </c>
      <c r="F173" s="105"/>
      <c r="G173" s="17">
        <v>0.13789999999999999</v>
      </c>
      <c r="H173" s="4" t="s">
        <v>351</v>
      </c>
      <c r="I173" s="5" t="s">
        <v>12</v>
      </c>
      <c r="J173" s="15"/>
      <c r="K173" s="15"/>
    </row>
    <row r="174" spans="1:11" x14ac:dyDescent="0.25">
      <c r="A174" s="4" t="s">
        <v>345</v>
      </c>
      <c r="B174" s="5" t="s">
        <v>352</v>
      </c>
      <c r="C174" s="5">
        <v>85266</v>
      </c>
      <c r="D174" s="6">
        <v>46023</v>
      </c>
      <c r="E174" s="7">
        <v>-0.1032</v>
      </c>
      <c r="F174" s="105"/>
      <c r="G174" s="17">
        <v>-9.1000000000000004E-3</v>
      </c>
      <c r="H174" s="4" t="s">
        <v>353</v>
      </c>
      <c r="I174" s="5" t="s">
        <v>12</v>
      </c>
      <c r="J174" s="15"/>
      <c r="K174" s="15"/>
    </row>
    <row r="175" spans="1:11" x14ac:dyDescent="0.25">
      <c r="A175" s="4" t="s">
        <v>345</v>
      </c>
      <c r="B175" s="5" t="s">
        <v>354</v>
      </c>
      <c r="C175" s="5">
        <v>43314</v>
      </c>
      <c r="D175" s="6">
        <v>46023</v>
      </c>
      <c r="E175" s="7">
        <v>0.12790000000000001</v>
      </c>
      <c r="F175" s="105"/>
      <c r="G175" s="8">
        <v>0.16159999999999999</v>
      </c>
      <c r="H175" s="4" t="s">
        <v>355</v>
      </c>
      <c r="I175" s="5" t="s">
        <v>12</v>
      </c>
      <c r="J175" s="15"/>
      <c r="K175" s="15"/>
    </row>
    <row r="176" spans="1:11" x14ac:dyDescent="0.25">
      <c r="A176" s="4" t="s">
        <v>345</v>
      </c>
      <c r="B176" s="5" t="s">
        <v>356</v>
      </c>
      <c r="C176" s="5">
        <v>79363</v>
      </c>
      <c r="D176" s="6">
        <v>46023</v>
      </c>
      <c r="E176" s="7">
        <v>0.18490000000000001</v>
      </c>
      <c r="F176" s="105"/>
      <c r="G176" s="8">
        <v>0.22040000000000001</v>
      </c>
      <c r="H176" s="4" t="s">
        <v>357</v>
      </c>
      <c r="I176" s="5" t="s">
        <v>12</v>
      </c>
      <c r="J176" s="15"/>
      <c r="K176" s="15"/>
    </row>
    <row r="177" spans="1:11" x14ac:dyDescent="0.25">
      <c r="A177" s="4" t="s">
        <v>345</v>
      </c>
      <c r="B177" s="5" t="s">
        <v>358</v>
      </c>
      <c r="C177" s="5">
        <v>33670</v>
      </c>
      <c r="D177" s="6">
        <v>46023</v>
      </c>
      <c r="E177" s="7">
        <v>0.1295</v>
      </c>
      <c r="F177" s="105"/>
      <c r="G177" s="17">
        <v>0.31580000000000003</v>
      </c>
      <c r="H177" s="4" t="s">
        <v>359</v>
      </c>
      <c r="I177" s="5" t="s">
        <v>12</v>
      </c>
      <c r="J177" s="15"/>
      <c r="K177" s="15"/>
    </row>
    <row r="178" spans="1:11" x14ac:dyDescent="0.25">
      <c r="A178" s="4" t="s">
        <v>345</v>
      </c>
      <c r="B178" s="5" t="s">
        <v>86</v>
      </c>
      <c r="C178" s="5">
        <v>84445</v>
      </c>
      <c r="D178" s="6">
        <v>46023</v>
      </c>
      <c r="E178" s="7">
        <v>0.1797</v>
      </c>
      <c r="F178" s="105"/>
      <c r="G178" s="8">
        <v>0.21510000000000001</v>
      </c>
      <c r="H178" s="4" t="s">
        <v>360</v>
      </c>
      <c r="I178" s="5" t="s">
        <v>12</v>
      </c>
      <c r="J178" s="15"/>
      <c r="K178" s="15"/>
    </row>
    <row r="179" spans="1:11" x14ac:dyDescent="0.25">
      <c r="A179" s="4" t="s">
        <v>345</v>
      </c>
      <c r="B179" s="5" t="s">
        <v>361</v>
      </c>
      <c r="C179" s="5">
        <v>83198</v>
      </c>
      <c r="D179" s="6">
        <v>46023</v>
      </c>
      <c r="E179" s="7">
        <v>0.20780000000000001</v>
      </c>
      <c r="F179" s="105"/>
      <c r="G179" s="17">
        <v>0.30370000000000003</v>
      </c>
      <c r="H179" s="4" t="s">
        <v>362</v>
      </c>
      <c r="I179" s="5" t="s">
        <v>12</v>
      </c>
      <c r="J179" s="15"/>
      <c r="K179" s="15"/>
    </row>
    <row r="180" spans="1:11" ht="15.75" thickBot="1" x14ac:dyDescent="0.3">
      <c r="A180" s="9" t="s">
        <v>345</v>
      </c>
      <c r="B180" s="10" t="s">
        <v>363</v>
      </c>
      <c r="C180" s="10">
        <v>45142</v>
      </c>
      <c r="D180" s="11">
        <v>46023</v>
      </c>
      <c r="E180" s="12">
        <v>0.19500000000000001</v>
      </c>
      <c r="F180" s="106"/>
      <c r="G180" s="50">
        <v>0.30509999999999998</v>
      </c>
      <c r="H180" s="9" t="s">
        <v>364</v>
      </c>
      <c r="I180" s="10" t="s">
        <v>12</v>
      </c>
      <c r="J180" s="15"/>
      <c r="K180" s="15"/>
    </row>
    <row r="181" spans="1:11" x14ac:dyDescent="0.25">
      <c r="A181" s="4" t="s">
        <v>365</v>
      </c>
      <c r="B181" s="5" t="s">
        <v>366</v>
      </c>
      <c r="C181" s="5">
        <v>57601</v>
      </c>
      <c r="D181" s="6">
        <v>46023</v>
      </c>
      <c r="E181" s="7">
        <v>-0.216</v>
      </c>
      <c r="F181" s="107">
        <v>0.17480000000000001</v>
      </c>
      <c r="G181" s="8">
        <v>-0.2165</v>
      </c>
      <c r="H181" s="4" t="s">
        <v>367</v>
      </c>
      <c r="I181" s="5" t="s">
        <v>12</v>
      </c>
      <c r="J181" s="15"/>
      <c r="K181" s="15"/>
    </row>
    <row r="182" spans="1:11" x14ac:dyDescent="0.25">
      <c r="A182" s="4" t="s">
        <v>365</v>
      </c>
      <c r="B182" s="5" t="s">
        <v>368</v>
      </c>
      <c r="C182" s="18">
        <v>13219</v>
      </c>
      <c r="D182" s="6">
        <v>46023</v>
      </c>
      <c r="E182" s="7">
        <v>9.64E-2</v>
      </c>
      <c r="F182" s="105"/>
      <c r="G182" s="17">
        <v>0.19289999999999999</v>
      </c>
      <c r="H182" s="4" t="s">
        <v>369</v>
      </c>
      <c r="I182" s="5" t="s">
        <v>12</v>
      </c>
      <c r="J182" s="15"/>
      <c r="K182" s="15"/>
    </row>
    <row r="183" spans="1:11" x14ac:dyDescent="0.25">
      <c r="A183" s="4" t="s">
        <v>365</v>
      </c>
      <c r="B183" s="5" t="s">
        <v>13</v>
      </c>
      <c r="C183" s="5">
        <v>75841</v>
      </c>
      <c r="D183" s="6">
        <v>46023</v>
      </c>
      <c r="E183" s="7">
        <v>0.3579</v>
      </c>
      <c r="F183" s="105"/>
      <c r="G183" s="8">
        <v>0.3579</v>
      </c>
      <c r="H183" s="4" t="s">
        <v>370</v>
      </c>
      <c r="I183" s="5" t="s">
        <v>12</v>
      </c>
      <c r="J183" s="15"/>
      <c r="K183" s="15"/>
    </row>
    <row r="184" spans="1:11" x14ac:dyDescent="0.25">
      <c r="A184" s="4" t="s">
        <v>365</v>
      </c>
      <c r="B184" s="5" t="s">
        <v>241</v>
      </c>
      <c r="C184" s="5">
        <v>59025</v>
      </c>
      <c r="D184" s="6">
        <v>46023</v>
      </c>
      <c r="E184" s="7">
        <v>0.43140000000000001</v>
      </c>
      <c r="F184" s="105"/>
      <c r="G184" s="8">
        <v>0.43140000000000001</v>
      </c>
      <c r="H184" s="4" t="s">
        <v>371</v>
      </c>
      <c r="I184" s="5" t="s">
        <v>12</v>
      </c>
      <c r="J184" s="15"/>
      <c r="K184" s="15"/>
    </row>
    <row r="185" spans="1:11" ht="15.75" thickBot="1" x14ac:dyDescent="0.3">
      <c r="A185" s="9" t="s">
        <v>365</v>
      </c>
      <c r="B185" s="10" t="s">
        <v>372</v>
      </c>
      <c r="C185" s="10">
        <v>96751</v>
      </c>
      <c r="D185" s="11">
        <v>46023</v>
      </c>
      <c r="E185" s="12">
        <v>0.20430000000000001</v>
      </c>
      <c r="F185" s="106"/>
      <c r="G185" s="13">
        <v>0.21920000000000001</v>
      </c>
      <c r="H185" s="9" t="s">
        <v>373</v>
      </c>
      <c r="I185" s="10" t="s">
        <v>12</v>
      </c>
      <c r="J185" s="15"/>
      <c r="K185" s="15"/>
    </row>
    <row r="186" spans="1:11" x14ac:dyDescent="0.25">
      <c r="A186" s="4" t="s">
        <v>374</v>
      </c>
      <c r="B186" s="5" t="s">
        <v>375</v>
      </c>
      <c r="C186" s="5">
        <v>77606</v>
      </c>
      <c r="D186" s="6">
        <v>46023</v>
      </c>
      <c r="E186" s="7">
        <v>0.16819999999999999</v>
      </c>
      <c r="F186" s="107">
        <v>0.14910000000000001</v>
      </c>
      <c r="G186" s="8">
        <v>0.16819999999999999</v>
      </c>
      <c r="H186" s="4" t="s">
        <v>376</v>
      </c>
      <c r="I186" s="5" t="s">
        <v>12</v>
      </c>
      <c r="J186" s="15"/>
      <c r="K186" s="15"/>
    </row>
    <row r="187" spans="1:11" x14ac:dyDescent="0.25">
      <c r="A187" s="4" t="s">
        <v>374</v>
      </c>
      <c r="B187" s="5" t="s">
        <v>377</v>
      </c>
      <c r="C187" s="5">
        <v>91762</v>
      </c>
      <c r="D187" s="6">
        <v>46023</v>
      </c>
      <c r="E187" s="7">
        <v>0.1552</v>
      </c>
      <c r="F187" s="105"/>
      <c r="G187" s="8">
        <v>0.1552</v>
      </c>
      <c r="H187" s="4" t="s">
        <v>378</v>
      </c>
      <c r="I187" s="5" t="s">
        <v>12</v>
      </c>
      <c r="J187" s="15"/>
      <c r="K187" s="15"/>
    </row>
    <row r="188" spans="1:11" x14ac:dyDescent="0.25">
      <c r="A188" s="4" t="s">
        <v>374</v>
      </c>
      <c r="B188" s="5" t="s">
        <v>379</v>
      </c>
      <c r="C188" s="5">
        <v>91661</v>
      </c>
      <c r="D188" s="6">
        <v>46023</v>
      </c>
      <c r="E188" s="7">
        <v>0.17050000000000001</v>
      </c>
      <c r="F188" s="105"/>
      <c r="G188" s="8">
        <v>0.18060000000000001</v>
      </c>
      <c r="H188" s="4" t="s">
        <v>380</v>
      </c>
      <c r="I188" s="5" t="s">
        <v>12</v>
      </c>
      <c r="J188" s="15"/>
      <c r="K188" s="15"/>
    </row>
    <row r="189" spans="1:11" x14ac:dyDescent="0.25">
      <c r="A189" s="4" t="s">
        <v>374</v>
      </c>
      <c r="B189" s="5" t="s">
        <v>381</v>
      </c>
      <c r="C189" s="5">
        <v>23818</v>
      </c>
      <c r="D189" s="6">
        <v>46023</v>
      </c>
      <c r="E189" s="7">
        <v>4.5900000000000003E-2</v>
      </c>
      <c r="F189" s="105"/>
      <c r="G189" s="8">
        <v>4.5900000000000003E-2</v>
      </c>
      <c r="H189" s="4" t="s">
        <v>382</v>
      </c>
      <c r="I189" s="5" t="s">
        <v>12</v>
      </c>
      <c r="J189" s="15"/>
      <c r="K189" s="15"/>
    </row>
    <row r="190" spans="1:11" x14ac:dyDescent="0.25">
      <c r="A190" s="4" t="s">
        <v>374</v>
      </c>
      <c r="B190" s="5" t="s">
        <v>15</v>
      </c>
      <c r="C190" s="5">
        <v>37777</v>
      </c>
      <c r="D190" s="6">
        <v>46023</v>
      </c>
      <c r="E190" s="7">
        <v>0.18360000000000001</v>
      </c>
      <c r="F190" s="105"/>
      <c r="G190" s="8">
        <v>0.19040000000000001</v>
      </c>
      <c r="H190" s="4" t="s">
        <v>383</v>
      </c>
      <c r="I190" s="5" t="s">
        <v>12</v>
      </c>
      <c r="J190" s="15"/>
      <c r="K190" s="15"/>
    </row>
    <row r="191" spans="1:11" ht="15.75" thickBot="1" x14ac:dyDescent="0.3">
      <c r="A191" s="9" t="s">
        <v>374</v>
      </c>
      <c r="B191" s="10" t="s">
        <v>384</v>
      </c>
      <c r="C191" s="10">
        <v>17970</v>
      </c>
      <c r="D191" s="11">
        <v>46023</v>
      </c>
      <c r="E191" s="12">
        <v>0.17130000000000001</v>
      </c>
      <c r="F191" s="106"/>
      <c r="G191" s="13">
        <v>0.17130000000000001</v>
      </c>
      <c r="H191" s="9" t="s">
        <v>385</v>
      </c>
      <c r="I191" s="10" t="s">
        <v>12</v>
      </c>
      <c r="J191" s="15"/>
      <c r="K191" s="15"/>
    </row>
    <row r="192" spans="1:11" x14ac:dyDescent="0.25">
      <c r="A192" s="4" t="s">
        <v>386</v>
      </c>
      <c r="B192" s="5" t="s">
        <v>387</v>
      </c>
      <c r="C192" s="14">
        <v>75605</v>
      </c>
      <c r="D192" s="6">
        <v>46023</v>
      </c>
      <c r="E192" s="7">
        <v>0.38669999999999999</v>
      </c>
      <c r="F192" s="107">
        <v>0.34050000000000002</v>
      </c>
      <c r="G192" s="8">
        <v>0.38550000000000001</v>
      </c>
      <c r="H192" s="4" t="s">
        <v>388</v>
      </c>
      <c r="I192" s="5" t="s">
        <v>12</v>
      </c>
      <c r="J192" s="15"/>
      <c r="K192" s="15"/>
    </row>
    <row r="193" spans="1:11" x14ac:dyDescent="0.25">
      <c r="A193" s="4" t="s">
        <v>386</v>
      </c>
      <c r="B193" s="5" t="s">
        <v>389</v>
      </c>
      <c r="C193" s="5">
        <v>19722</v>
      </c>
      <c r="D193" s="6">
        <v>46023</v>
      </c>
      <c r="E193" s="7">
        <v>0.15310000000000001</v>
      </c>
      <c r="F193" s="105"/>
      <c r="G193" s="8">
        <v>0.15310000000000001</v>
      </c>
      <c r="H193" s="4" t="s">
        <v>390</v>
      </c>
      <c r="I193" s="5" t="s">
        <v>12</v>
      </c>
      <c r="J193" s="15"/>
      <c r="K193" s="15"/>
    </row>
    <row r="194" spans="1:11" x14ac:dyDescent="0.25">
      <c r="A194" s="4" t="s">
        <v>386</v>
      </c>
      <c r="B194" s="5" t="s">
        <v>391</v>
      </c>
      <c r="C194" s="5">
        <v>57173</v>
      </c>
      <c r="D194" s="6">
        <v>46023</v>
      </c>
      <c r="E194" s="7">
        <v>0.29260000000000003</v>
      </c>
      <c r="F194" s="105"/>
      <c r="G194" s="8">
        <v>0.2888</v>
      </c>
      <c r="H194" s="4" t="s">
        <v>392</v>
      </c>
      <c r="I194" s="5" t="s">
        <v>12</v>
      </c>
      <c r="J194" s="15"/>
      <c r="K194" s="15"/>
    </row>
    <row r="195" spans="1:11" ht="15.75" thickBot="1" x14ac:dyDescent="0.3">
      <c r="A195" s="9" t="s">
        <v>386</v>
      </c>
      <c r="B195" s="10" t="s">
        <v>393</v>
      </c>
      <c r="C195" s="10">
        <v>65428</v>
      </c>
      <c r="D195" s="11">
        <v>46023</v>
      </c>
      <c r="E195" s="12">
        <v>0.52969999999999995</v>
      </c>
      <c r="F195" s="106"/>
      <c r="G195" s="13">
        <v>0.52249999999999996</v>
      </c>
      <c r="H195" s="9" t="s">
        <v>394</v>
      </c>
      <c r="I195" s="10" t="s">
        <v>12</v>
      </c>
      <c r="J195" s="15"/>
      <c r="K195" s="15"/>
    </row>
    <row r="196" spans="1:11" x14ac:dyDescent="0.25">
      <c r="A196" s="4" t="s">
        <v>395</v>
      </c>
      <c r="B196" s="5" t="s">
        <v>396</v>
      </c>
      <c r="C196" s="14">
        <v>17210</v>
      </c>
      <c r="D196" s="6">
        <v>46023</v>
      </c>
      <c r="E196" s="7">
        <v>0.36370000000000002</v>
      </c>
      <c r="F196" s="107">
        <v>0.21909999999999999</v>
      </c>
      <c r="G196" s="8">
        <v>9.0200000000000002E-2</v>
      </c>
      <c r="H196" s="4" t="s">
        <v>397</v>
      </c>
      <c r="I196" s="5" t="s">
        <v>12</v>
      </c>
      <c r="J196" s="15"/>
      <c r="K196" s="15"/>
    </row>
    <row r="197" spans="1:11" x14ac:dyDescent="0.25">
      <c r="A197" s="4" t="s">
        <v>395</v>
      </c>
      <c r="B197" s="5" t="s">
        <v>398</v>
      </c>
      <c r="C197" s="5">
        <v>41046</v>
      </c>
      <c r="D197" s="6">
        <v>46023</v>
      </c>
      <c r="E197" s="7">
        <v>0.1031</v>
      </c>
      <c r="F197" s="105"/>
      <c r="G197" s="8">
        <v>4.6300000000000001E-2</v>
      </c>
      <c r="H197" s="4" t="s">
        <v>399</v>
      </c>
      <c r="I197" s="5" t="s">
        <v>12</v>
      </c>
      <c r="J197" s="15"/>
      <c r="K197" s="4"/>
    </row>
    <row r="198" spans="1:11" x14ac:dyDescent="0.25">
      <c r="A198" s="4" t="s">
        <v>395</v>
      </c>
      <c r="B198" s="5" t="s">
        <v>400</v>
      </c>
      <c r="C198" s="5">
        <v>94788</v>
      </c>
      <c r="D198" s="6">
        <v>46023</v>
      </c>
      <c r="E198" s="7">
        <v>0.13170000000000001</v>
      </c>
      <c r="F198" s="105"/>
      <c r="G198" s="8">
        <v>0.11559999999999999</v>
      </c>
      <c r="H198" s="4" t="s">
        <v>401</v>
      </c>
      <c r="I198" s="5" t="s">
        <v>12</v>
      </c>
      <c r="J198" s="15"/>
      <c r="K198" s="4"/>
    </row>
    <row r="199" spans="1:11" x14ac:dyDescent="0.25">
      <c r="A199" s="4" t="s">
        <v>395</v>
      </c>
      <c r="B199" s="5" t="s">
        <v>402</v>
      </c>
      <c r="C199" s="5">
        <v>78124</v>
      </c>
      <c r="D199" s="6">
        <v>46023</v>
      </c>
      <c r="E199" s="7">
        <v>0.248</v>
      </c>
      <c r="F199" s="105"/>
      <c r="G199" s="8">
        <v>0.20649999999999999</v>
      </c>
      <c r="H199" s="4"/>
      <c r="I199" s="5"/>
      <c r="J199" s="15"/>
      <c r="K199" s="4"/>
    </row>
    <row r="200" spans="1:11" x14ac:dyDescent="0.25">
      <c r="A200" s="4" t="s">
        <v>395</v>
      </c>
      <c r="B200" s="5" t="s">
        <v>403</v>
      </c>
      <c r="C200" s="5">
        <v>88582</v>
      </c>
      <c r="D200" s="6">
        <v>46023</v>
      </c>
      <c r="E200" s="7">
        <v>8.3000000000000001E-3</v>
      </c>
      <c r="F200" s="105"/>
      <c r="G200" s="8">
        <v>-9.0800000000000006E-2</v>
      </c>
      <c r="H200" s="4" t="s">
        <v>404</v>
      </c>
      <c r="I200" s="5" t="s">
        <v>12</v>
      </c>
      <c r="J200" s="15"/>
      <c r="K200" s="4"/>
    </row>
    <row r="201" spans="1:11" x14ac:dyDescent="0.25">
      <c r="A201" s="4" t="s">
        <v>395</v>
      </c>
      <c r="B201" s="5" t="s">
        <v>405</v>
      </c>
      <c r="C201" s="5">
        <v>91237</v>
      </c>
      <c r="D201" s="6">
        <v>46023</v>
      </c>
      <c r="E201" s="7">
        <v>0.127</v>
      </c>
      <c r="F201" s="105"/>
      <c r="G201" s="8">
        <v>0.127</v>
      </c>
      <c r="H201" s="4" t="s">
        <v>406</v>
      </c>
      <c r="I201" s="5" t="s">
        <v>12</v>
      </c>
      <c r="J201" s="15"/>
      <c r="K201" s="4"/>
    </row>
    <row r="202" spans="1:11" x14ac:dyDescent="0.25">
      <c r="A202" s="4" t="s">
        <v>395</v>
      </c>
      <c r="B202" s="5" t="s">
        <v>407</v>
      </c>
      <c r="C202" s="5">
        <v>40064</v>
      </c>
      <c r="D202" s="6">
        <v>46023</v>
      </c>
      <c r="E202" s="7">
        <v>0.23810000000000001</v>
      </c>
      <c r="F202" s="105"/>
      <c r="G202" s="8">
        <v>0.1928</v>
      </c>
      <c r="H202" s="4" t="s">
        <v>408</v>
      </c>
      <c r="I202" s="5" t="s">
        <v>12</v>
      </c>
      <c r="J202" s="15"/>
      <c r="K202" s="4"/>
    </row>
    <row r="203" spans="1:11" x14ac:dyDescent="0.25">
      <c r="A203" s="4" t="s">
        <v>395</v>
      </c>
      <c r="B203" s="5" t="s">
        <v>409</v>
      </c>
      <c r="C203" s="5">
        <v>18029</v>
      </c>
      <c r="D203" s="6">
        <v>46023</v>
      </c>
      <c r="E203" s="7">
        <v>0.38419999999999999</v>
      </c>
      <c r="F203" s="105"/>
      <c r="G203" s="8">
        <v>0.20830000000000001</v>
      </c>
      <c r="H203" s="4" t="s">
        <v>410</v>
      </c>
      <c r="I203" s="5" t="s">
        <v>12</v>
      </c>
      <c r="J203" s="15"/>
      <c r="K203" s="4"/>
    </row>
    <row r="204" spans="1:11" x14ac:dyDescent="0.25">
      <c r="A204" s="4" t="s">
        <v>395</v>
      </c>
      <c r="B204" s="5" t="s">
        <v>411</v>
      </c>
      <c r="C204" s="5">
        <v>11177</v>
      </c>
      <c r="D204" s="6">
        <v>46023</v>
      </c>
      <c r="E204" s="7">
        <v>0.10050000000000001</v>
      </c>
      <c r="F204" s="105"/>
      <c r="G204" s="8">
        <v>4.36E-2</v>
      </c>
      <c r="H204" s="4" t="s">
        <v>412</v>
      </c>
      <c r="I204" s="5" t="s">
        <v>12</v>
      </c>
      <c r="J204" s="15"/>
      <c r="K204" s="4"/>
    </row>
    <row r="205" spans="1:11" x14ac:dyDescent="0.25">
      <c r="A205" s="4" t="s">
        <v>395</v>
      </c>
      <c r="B205" s="5" t="s">
        <v>413</v>
      </c>
      <c r="C205" s="5">
        <v>56184</v>
      </c>
      <c r="D205" s="6">
        <v>46023</v>
      </c>
      <c r="E205" s="7">
        <v>8.2000000000000003E-2</v>
      </c>
      <c r="F205" s="105"/>
      <c r="G205" s="8">
        <v>8.2000000000000003E-2</v>
      </c>
      <c r="H205" s="4" t="s">
        <v>414</v>
      </c>
      <c r="I205" s="5" t="s">
        <v>12</v>
      </c>
      <c r="J205" s="15"/>
      <c r="K205" s="4"/>
    </row>
    <row r="206" spans="1:11" x14ac:dyDescent="0.25">
      <c r="A206" s="4" t="s">
        <v>395</v>
      </c>
      <c r="B206" s="5" t="s">
        <v>415</v>
      </c>
      <c r="C206" s="5">
        <v>25303</v>
      </c>
      <c r="D206" s="6">
        <v>46023</v>
      </c>
      <c r="E206" s="7">
        <v>8.0699999999999994E-2</v>
      </c>
      <c r="F206" s="105"/>
      <c r="G206" s="8">
        <v>2.9100000000000001E-2</v>
      </c>
      <c r="H206" s="4" t="s">
        <v>416</v>
      </c>
      <c r="I206" s="5" t="s">
        <v>12</v>
      </c>
      <c r="J206" s="15"/>
      <c r="K206" s="4"/>
    </row>
    <row r="207" spans="1:11" x14ac:dyDescent="0.25">
      <c r="A207" s="4" t="s">
        <v>395</v>
      </c>
      <c r="B207" s="5" t="s">
        <v>417</v>
      </c>
      <c r="C207" s="5">
        <v>74289</v>
      </c>
      <c r="D207" s="6">
        <v>46023</v>
      </c>
      <c r="E207" s="7">
        <v>0.1704</v>
      </c>
      <c r="F207" s="105"/>
      <c r="G207" s="8">
        <v>3.49E-2</v>
      </c>
      <c r="H207" s="4" t="s">
        <v>418</v>
      </c>
      <c r="I207" s="5" t="s">
        <v>12</v>
      </c>
      <c r="J207" s="15"/>
      <c r="K207" s="4"/>
    </row>
    <row r="208" spans="1:11" x14ac:dyDescent="0.25">
      <c r="A208" s="4" t="s">
        <v>395</v>
      </c>
      <c r="B208" s="5" t="s">
        <v>419</v>
      </c>
      <c r="C208" s="15">
        <v>54235</v>
      </c>
      <c r="D208" s="6">
        <v>46023</v>
      </c>
      <c r="E208" s="7">
        <v>0.36620000000000003</v>
      </c>
      <c r="F208" s="105"/>
      <c r="G208" s="8">
        <v>9.11E-2</v>
      </c>
      <c r="H208" s="4" t="s">
        <v>420</v>
      </c>
      <c r="I208" s="5" t="s">
        <v>12</v>
      </c>
      <c r="J208" s="15"/>
      <c r="K208" s="4"/>
    </row>
    <row r="209" spans="1:11" ht="15.75" thickBot="1" x14ac:dyDescent="0.3">
      <c r="A209" s="9" t="s">
        <v>395</v>
      </c>
      <c r="B209" s="10" t="s">
        <v>421</v>
      </c>
      <c r="C209" s="15">
        <v>54297</v>
      </c>
      <c r="D209" s="11">
        <v>46023</v>
      </c>
      <c r="E209" s="12">
        <v>0.66390000000000005</v>
      </c>
      <c r="F209" s="106"/>
      <c r="G209" s="13">
        <v>9.1399999999999995E-2</v>
      </c>
      <c r="H209" s="9" t="s">
        <v>422</v>
      </c>
      <c r="I209" s="10" t="s">
        <v>12</v>
      </c>
      <c r="J209" s="15"/>
      <c r="K209" s="15"/>
    </row>
    <row r="210" spans="1:11" x14ac:dyDescent="0.25">
      <c r="A210" s="4" t="s">
        <v>423</v>
      </c>
      <c r="B210" s="5" t="s">
        <v>424</v>
      </c>
      <c r="C210" s="14">
        <v>77264</v>
      </c>
      <c r="D210" s="6">
        <v>46023</v>
      </c>
      <c r="E210" s="7">
        <v>0.25600000000000001</v>
      </c>
      <c r="F210" s="107">
        <v>0.24510000000000001</v>
      </c>
      <c r="G210" s="8">
        <v>0.2336</v>
      </c>
      <c r="H210" s="4" t="s">
        <v>425</v>
      </c>
      <c r="I210" s="4" t="s">
        <v>12</v>
      </c>
      <c r="J210" s="15"/>
      <c r="K210" s="15"/>
    </row>
    <row r="211" spans="1:11" x14ac:dyDescent="0.25">
      <c r="A211" s="4" t="s">
        <v>423</v>
      </c>
      <c r="B211" s="5" t="s">
        <v>426</v>
      </c>
      <c r="C211" s="5">
        <v>17414</v>
      </c>
      <c r="D211" s="6">
        <v>46023</v>
      </c>
      <c r="E211" s="7">
        <v>0.36399999999999999</v>
      </c>
      <c r="F211" s="105"/>
      <c r="G211" s="8">
        <v>0.3649</v>
      </c>
      <c r="H211" s="4" t="s">
        <v>427</v>
      </c>
      <c r="I211" s="4" t="s">
        <v>12</v>
      </c>
      <c r="J211" s="15"/>
      <c r="K211" s="15"/>
    </row>
    <row r="212" spans="1:11" x14ac:dyDescent="0.25">
      <c r="A212" s="4" t="s">
        <v>423</v>
      </c>
      <c r="B212" s="5" t="s">
        <v>428</v>
      </c>
      <c r="C212" s="5">
        <v>11512</v>
      </c>
      <c r="D212" s="6">
        <v>46023</v>
      </c>
      <c r="E212" s="7">
        <v>0.29360000000000003</v>
      </c>
      <c r="F212" s="105"/>
      <c r="G212" s="8">
        <v>0.29759999999999998</v>
      </c>
      <c r="H212" s="4" t="s">
        <v>429</v>
      </c>
      <c r="I212" s="4" t="s">
        <v>12</v>
      </c>
      <c r="J212" s="15"/>
      <c r="K212" s="15"/>
    </row>
    <row r="213" spans="1:11" x14ac:dyDescent="0.25">
      <c r="A213" s="4" t="s">
        <v>423</v>
      </c>
      <c r="B213" s="5" t="s">
        <v>430</v>
      </c>
      <c r="C213" s="5">
        <v>13591</v>
      </c>
      <c r="D213" s="6">
        <v>46023</v>
      </c>
      <c r="E213" s="7">
        <v>0.13539999999999999</v>
      </c>
      <c r="F213" s="105"/>
      <c r="G213" s="17">
        <v>0.3075</v>
      </c>
      <c r="H213" s="4" t="s">
        <v>431</v>
      </c>
      <c r="I213" s="4" t="s">
        <v>12</v>
      </c>
      <c r="J213" s="15"/>
      <c r="K213" s="15"/>
    </row>
    <row r="214" spans="1:11" x14ac:dyDescent="0.25">
      <c r="A214" s="4" t="s">
        <v>423</v>
      </c>
      <c r="B214" s="5" t="s">
        <v>432</v>
      </c>
      <c r="C214" s="5">
        <v>73943</v>
      </c>
      <c r="D214" s="6">
        <v>46023</v>
      </c>
      <c r="E214" s="7">
        <v>0.27489999999999998</v>
      </c>
      <c r="F214" s="105"/>
      <c r="G214" s="8">
        <v>0.27650000000000002</v>
      </c>
      <c r="H214" s="4" t="s">
        <v>433</v>
      </c>
      <c r="I214" s="4" t="s">
        <v>12</v>
      </c>
      <c r="J214" s="15"/>
      <c r="K214" s="15"/>
    </row>
    <row r="215" spans="1:11" x14ac:dyDescent="0.25">
      <c r="A215" s="4" t="s">
        <v>423</v>
      </c>
      <c r="B215" s="5" t="s">
        <v>434</v>
      </c>
      <c r="C215" s="5">
        <v>69803</v>
      </c>
      <c r="D215" s="6">
        <v>46023</v>
      </c>
      <c r="E215" s="7">
        <v>6.9400000000000003E-2</v>
      </c>
      <c r="F215" s="105"/>
      <c r="G215" s="17">
        <v>0.16880000000000001</v>
      </c>
      <c r="H215" s="4" t="s">
        <v>435</v>
      </c>
      <c r="I215" s="4" t="s">
        <v>12</v>
      </c>
      <c r="J215" s="15"/>
      <c r="K215" s="15"/>
    </row>
    <row r="216" spans="1:11" ht="15.75" thickBot="1" x14ac:dyDescent="0.3">
      <c r="A216" s="9" t="s">
        <v>423</v>
      </c>
      <c r="B216" s="10" t="s">
        <v>436</v>
      </c>
      <c r="C216" s="10">
        <v>54332</v>
      </c>
      <c r="D216" s="11">
        <v>46023</v>
      </c>
      <c r="E216" s="12">
        <v>0.32269999999999999</v>
      </c>
      <c r="F216" s="106"/>
      <c r="G216" s="13">
        <v>0.32290000000000002</v>
      </c>
      <c r="H216" s="9" t="s">
        <v>437</v>
      </c>
      <c r="I216" s="10" t="s">
        <v>12</v>
      </c>
      <c r="J216" s="15"/>
      <c r="K216" s="15"/>
    </row>
    <row r="217" spans="1:11" x14ac:dyDescent="0.25">
      <c r="A217" s="4" t="s">
        <v>438</v>
      </c>
      <c r="B217" s="5" t="s">
        <v>439</v>
      </c>
      <c r="C217" s="14">
        <v>37160</v>
      </c>
      <c r="D217" s="6">
        <v>46023</v>
      </c>
      <c r="E217" s="7">
        <v>4.8800000000000003E-2</v>
      </c>
      <c r="F217" s="107">
        <v>8.0699999999999994E-2</v>
      </c>
      <c r="G217" s="17">
        <v>8.2699999999999996E-2</v>
      </c>
      <c r="H217" s="4" t="s">
        <v>440</v>
      </c>
      <c r="I217" s="5" t="s">
        <v>12</v>
      </c>
      <c r="J217" s="15"/>
      <c r="K217" s="15"/>
    </row>
    <row r="218" spans="1:11" x14ac:dyDescent="0.25">
      <c r="A218" s="4" t="s">
        <v>438</v>
      </c>
      <c r="B218" s="5" t="s">
        <v>441</v>
      </c>
      <c r="C218" s="5">
        <v>73751</v>
      </c>
      <c r="D218" s="6">
        <v>46023</v>
      </c>
      <c r="E218" s="7">
        <v>0.17879999999999999</v>
      </c>
      <c r="F218" s="105"/>
      <c r="G218" s="17">
        <v>0.23089999999999999</v>
      </c>
      <c r="H218" s="4" t="s">
        <v>442</v>
      </c>
      <c r="I218" s="5" t="s">
        <v>12</v>
      </c>
      <c r="J218" s="15"/>
      <c r="K218" s="15"/>
    </row>
    <row r="219" spans="1:11" ht="15.75" thickBot="1" x14ac:dyDescent="0.3">
      <c r="A219" s="9" t="s">
        <v>438</v>
      </c>
      <c r="B219" s="10" t="s">
        <v>443</v>
      </c>
      <c r="C219" s="10">
        <v>89364</v>
      </c>
      <c r="D219" s="11">
        <v>46023</v>
      </c>
      <c r="E219" s="12">
        <v>1.44E-2</v>
      </c>
      <c r="F219" s="106"/>
      <c r="G219" s="50">
        <v>5.1200000000000002E-2</v>
      </c>
      <c r="H219" s="9" t="s">
        <v>444</v>
      </c>
      <c r="I219" s="10" t="s">
        <v>12</v>
      </c>
      <c r="J219" s="15"/>
      <c r="K219" s="15"/>
    </row>
    <row r="220" spans="1:11" x14ac:dyDescent="0.25">
      <c r="A220" s="4" t="s">
        <v>445</v>
      </c>
      <c r="B220" s="5" t="s">
        <v>446</v>
      </c>
      <c r="C220" s="5">
        <v>31981</v>
      </c>
      <c r="D220" s="6">
        <v>46023</v>
      </c>
      <c r="E220" s="7">
        <v>4.1500000000000002E-2</v>
      </c>
      <c r="F220" s="107">
        <v>0.18909999999999999</v>
      </c>
      <c r="G220" s="55">
        <v>4.1599999999999998E-2</v>
      </c>
      <c r="H220" s="4" t="s">
        <v>447</v>
      </c>
      <c r="I220" s="5" t="s">
        <v>12</v>
      </c>
      <c r="J220" s="15"/>
      <c r="K220" s="15"/>
    </row>
    <row r="221" spans="1:11" x14ac:dyDescent="0.25">
      <c r="A221" s="4" t="s">
        <v>445</v>
      </c>
      <c r="B221" s="5" t="s">
        <v>448</v>
      </c>
      <c r="C221" s="5">
        <v>41047</v>
      </c>
      <c r="D221" s="6">
        <v>46023</v>
      </c>
      <c r="E221" s="7">
        <v>0.27250000000000002</v>
      </c>
      <c r="F221" s="105"/>
      <c r="G221" s="55">
        <v>0.27250000000000002</v>
      </c>
      <c r="H221" s="4" t="s">
        <v>449</v>
      </c>
      <c r="I221" s="5" t="s">
        <v>12</v>
      </c>
      <c r="J221" s="15"/>
      <c r="K221" s="15"/>
    </row>
    <row r="222" spans="1:11" x14ac:dyDescent="0.25">
      <c r="A222" s="4" t="s">
        <v>445</v>
      </c>
      <c r="B222" s="5" t="s">
        <v>450</v>
      </c>
      <c r="C222" s="18">
        <v>22235</v>
      </c>
      <c r="D222" s="6">
        <v>46023</v>
      </c>
      <c r="E222" s="7">
        <v>0.25280000000000002</v>
      </c>
      <c r="F222" s="105"/>
      <c r="G222" s="55">
        <v>0.25280000000000002</v>
      </c>
      <c r="H222" s="4" t="s">
        <v>451</v>
      </c>
      <c r="I222" s="5" t="s">
        <v>12</v>
      </c>
      <c r="J222" s="15"/>
      <c r="K222" s="15"/>
    </row>
    <row r="223" spans="1:11" x14ac:dyDescent="0.25">
      <c r="A223" s="4" t="s">
        <v>445</v>
      </c>
      <c r="B223" s="5" t="s">
        <v>452</v>
      </c>
      <c r="C223" s="15">
        <v>77552</v>
      </c>
      <c r="D223" s="6">
        <v>46023</v>
      </c>
      <c r="E223" s="7">
        <v>0.17199999999999999</v>
      </c>
      <c r="F223" s="105"/>
      <c r="G223" s="55">
        <v>0.1847</v>
      </c>
      <c r="H223" s="4" t="s">
        <v>453</v>
      </c>
      <c r="I223" s="5" t="s">
        <v>12</v>
      </c>
      <c r="J223" s="15"/>
      <c r="K223" s="15"/>
    </row>
    <row r="224" spans="1:11" x14ac:dyDescent="0.25">
      <c r="A224" s="4" t="s">
        <v>445</v>
      </c>
      <c r="B224" s="5" t="s">
        <v>454</v>
      </c>
      <c r="C224" s="15">
        <v>29276</v>
      </c>
      <c r="D224" s="6">
        <v>46023</v>
      </c>
      <c r="E224" s="7">
        <v>0.19089999999999999</v>
      </c>
      <c r="F224" s="105"/>
      <c r="G224" s="55">
        <v>0.21329999999999999</v>
      </c>
      <c r="H224" s="4" t="s">
        <v>455</v>
      </c>
      <c r="I224" s="5" t="s">
        <v>12</v>
      </c>
      <c r="J224" s="15"/>
      <c r="K224" s="15"/>
    </row>
    <row r="225" spans="1:11" x14ac:dyDescent="0.25">
      <c r="A225" s="4" t="s">
        <v>445</v>
      </c>
      <c r="B225" s="5" t="s">
        <v>456</v>
      </c>
      <c r="C225" s="15">
        <v>99969</v>
      </c>
      <c r="D225" s="6">
        <v>46023</v>
      </c>
      <c r="E225" s="7">
        <v>0.13500000000000001</v>
      </c>
      <c r="F225" s="105"/>
      <c r="G225" s="55">
        <v>0.13500000000000001</v>
      </c>
      <c r="H225" s="4" t="s">
        <v>457</v>
      </c>
      <c r="I225" s="5" t="s">
        <v>12</v>
      </c>
      <c r="J225" s="15"/>
      <c r="K225" s="15"/>
    </row>
    <row r="226" spans="1:11" x14ac:dyDescent="0.25">
      <c r="A226" s="4" t="s">
        <v>445</v>
      </c>
      <c r="B226" s="5" t="s">
        <v>458</v>
      </c>
      <c r="C226" s="15">
        <v>64353</v>
      </c>
      <c r="D226" s="6">
        <v>46023</v>
      </c>
      <c r="E226" s="7">
        <v>0.20019999999999999</v>
      </c>
      <c r="F226" s="105"/>
      <c r="G226" s="55">
        <v>0.20960000000000001</v>
      </c>
      <c r="H226" s="4" t="s">
        <v>459</v>
      </c>
      <c r="I226" s="5" t="s">
        <v>12</v>
      </c>
      <c r="J226" s="15"/>
      <c r="K226" s="15"/>
    </row>
    <row r="227" spans="1:11" x14ac:dyDescent="0.25">
      <c r="A227" s="4" t="s">
        <v>445</v>
      </c>
      <c r="B227" s="5" t="s">
        <v>460</v>
      </c>
      <c r="C227" s="15">
        <v>29341</v>
      </c>
      <c r="D227" s="6">
        <v>46023</v>
      </c>
      <c r="E227" s="7">
        <v>0.12659999999999999</v>
      </c>
      <c r="F227" s="105"/>
      <c r="G227" s="55">
        <v>0.12970000000000001</v>
      </c>
      <c r="H227" s="4" t="s">
        <v>461</v>
      </c>
      <c r="I227" s="5" t="s">
        <v>12</v>
      </c>
      <c r="J227" s="15"/>
      <c r="K227" s="15"/>
    </row>
    <row r="228" spans="1:11" x14ac:dyDescent="0.25">
      <c r="A228" s="4" t="s">
        <v>445</v>
      </c>
      <c r="B228" s="5" t="s">
        <v>462</v>
      </c>
      <c r="C228" s="15">
        <v>45845</v>
      </c>
      <c r="D228" s="6">
        <v>46023</v>
      </c>
      <c r="E228" s="7">
        <v>0.17580000000000001</v>
      </c>
      <c r="F228" s="105"/>
      <c r="G228" s="55">
        <v>0.17660000000000001</v>
      </c>
      <c r="H228" s="4" t="s">
        <v>463</v>
      </c>
      <c r="I228" s="5" t="s">
        <v>12</v>
      </c>
      <c r="J228" s="15"/>
      <c r="K228" s="15"/>
    </row>
    <row r="229" spans="1:11" x14ac:dyDescent="0.25">
      <c r="A229" s="4" t="s">
        <v>445</v>
      </c>
      <c r="B229" s="5" t="s">
        <v>464</v>
      </c>
      <c r="C229" s="15">
        <v>74313</v>
      </c>
      <c r="D229" s="6">
        <v>46023</v>
      </c>
      <c r="E229" s="7">
        <v>0.36630000000000001</v>
      </c>
      <c r="F229" s="105"/>
      <c r="G229" s="55">
        <v>0.37059999999999998</v>
      </c>
      <c r="H229" s="4" t="s">
        <v>465</v>
      </c>
      <c r="I229" s="5" t="s">
        <v>12</v>
      </c>
      <c r="J229" s="15"/>
      <c r="K229" s="15"/>
    </row>
    <row r="230" spans="1:11" x14ac:dyDescent="0.25">
      <c r="A230" s="4" t="s">
        <v>445</v>
      </c>
      <c r="B230" s="5" t="s">
        <v>466</v>
      </c>
      <c r="C230" s="15">
        <v>52664</v>
      </c>
      <c r="D230" s="6">
        <v>46023</v>
      </c>
      <c r="E230" s="7">
        <v>0.1205</v>
      </c>
      <c r="F230" s="105"/>
      <c r="G230" s="55">
        <v>0.121</v>
      </c>
      <c r="H230" s="4" t="s">
        <v>467</v>
      </c>
      <c r="I230" s="5" t="s">
        <v>12</v>
      </c>
      <c r="J230" s="15"/>
      <c r="K230" s="15"/>
    </row>
    <row r="231" spans="1:11" x14ac:dyDescent="0.25">
      <c r="A231" s="4" t="s">
        <v>445</v>
      </c>
      <c r="B231" s="5" t="s">
        <v>468</v>
      </c>
      <c r="C231" s="15">
        <v>83396</v>
      </c>
      <c r="D231" s="6">
        <v>46023</v>
      </c>
      <c r="E231" s="7">
        <v>0.1017</v>
      </c>
      <c r="F231" s="105"/>
      <c r="G231" s="55">
        <v>0.1017</v>
      </c>
      <c r="H231" s="4" t="s">
        <v>469</v>
      </c>
      <c r="I231" s="5" t="s">
        <v>12</v>
      </c>
      <c r="J231" s="15"/>
      <c r="K231" s="15"/>
    </row>
    <row r="232" spans="1:11" ht="15.75" thickBot="1" x14ac:dyDescent="0.3">
      <c r="A232" s="9" t="s">
        <v>445</v>
      </c>
      <c r="B232" s="10" t="s">
        <v>470</v>
      </c>
      <c r="C232" s="15">
        <v>33931</v>
      </c>
      <c r="D232" s="11">
        <v>46023</v>
      </c>
      <c r="E232" s="12">
        <v>0.3029</v>
      </c>
      <c r="F232" s="106"/>
      <c r="G232" s="56">
        <v>0.309</v>
      </c>
      <c r="H232" s="9" t="s">
        <v>471</v>
      </c>
      <c r="I232" s="10" t="s">
        <v>12</v>
      </c>
      <c r="J232" s="15"/>
      <c r="K232" s="15"/>
    </row>
    <row r="233" spans="1:11" x14ac:dyDescent="0.25">
      <c r="A233" s="4" t="s">
        <v>472</v>
      </c>
      <c r="B233" s="5" t="s">
        <v>473</v>
      </c>
      <c r="C233" s="14">
        <v>87571</v>
      </c>
      <c r="D233" s="6">
        <v>46023</v>
      </c>
      <c r="E233" s="7">
        <v>0.32700000000000001</v>
      </c>
      <c r="F233" s="107">
        <v>0.18279999999999999</v>
      </c>
      <c r="G233" s="8">
        <v>0.33260000000000001</v>
      </c>
      <c r="H233" s="4" t="s">
        <v>474</v>
      </c>
      <c r="I233" s="5" t="s">
        <v>12</v>
      </c>
      <c r="J233" s="15"/>
      <c r="K233" s="15"/>
    </row>
    <row r="234" spans="1:11" x14ac:dyDescent="0.25">
      <c r="A234" s="4" t="s">
        <v>472</v>
      </c>
      <c r="B234" s="5" t="s">
        <v>13</v>
      </c>
      <c r="C234" s="5">
        <v>62505</v>
      </c>
      <c r="D234" s="6">
        <v>46023</v>
      </c>
      <c r="E234" s="7">
        <v>0.2455</v>
      </c>
      <c r="F234" s="105"/>
      <c r="G234" s="8">
        <v>0.2455</v>
      </c>
      <c r="H234" s="4" t="s">
        <v>475</v>
      </c>
      <c r="I234" s="5" t="s">
        <v>12</v>
      </c>
      <c r="J234" s="15"/>
      <c r="K234" s="15"/>
    </row>
    <row r="235" spans="1:11" x14ac:dyDescent="0.25">
      <c r="A235" s="4" t="s">
        <v>472</v>
      </c>
      <c r="B235" s="5" t="s">
        <v>476</v>
      </c>
      <c r="C235" s="5">
        <v>98905</v>
      </c>
      <c r="D235" s="6">
        <v>46023</v>
      </c>
      <c r="E235" s="7">
        <v>7.8600000000000003E-2</v>
      </c>
      <c r="F235" s="105"/>
      <c r="G235" s="8">
        <v>7.8600000000000003E-2</v>
      </c>
      <c r="H235" s="4" t="s">
        <v>477</v>
      </c>
      <c r="I235" s="5" t="s">
        <v>12</v>
      </c>
      <c r="J235" s="15"/>
      <c r="K235" s="15"/>
    </row>
    <row r="236" spans="1:11" x14ac:dyDescent="0.25">
      <c r="A236" s="4" t="s">
        <v>472</v>
      </c>
      <c r="B236" s="5" t="s">
        <v>206</v>
      </c>
      <c r="C236" s="5">
        <v>21333</v>
      </c>
      <c r="D236" s="6">
        <v>46023</v>
      </c>
      <c r="E236" s="7">
        <v>0.1956</v>
      </c>
      <c r="F236" s="105"/>
      <c r="G236" s="8">
        <v>0.19869999999999999</v>
      </c>
      <c r="H236" s="4" t="s">
        <v>478</v>
      </c>
      <c r="I236" s="5" t="s">
        <v>12</v>
      </c>
      <c r="J236" s="15"/>
      <c r="K236" s="15"/>
    </row>
    <row r="237" spans="1:11" x14ac:dyDescent="0.25">
      <c r="A237" s="4" t="s">
        <v>472</v>
      </c>
      <c r="B237" s="5" t="s">
        <v>479</v>
      </c>
      <c r="C237" s="18">
        <v>58944</v>
      </c>
      <c r="D237" s="6">
        <v>46023</v>
      </c>
      <c r="E237" s="7">
        <v>0.2087</v>
      </c>
      <c r="F237" s="105"/>
      <c r="G237" s="8">
        <v>0.26479999999999998</v>
      </c>
      <c r="H237" s="4" t="s">
        <v>480</v>
      </c>
      <c r="I237" s="5" t="s">
        <v>12</v>
      </c>
      <c r="J237" s="15"/>
      <c r="K237" s="15"/>
    </row>
    <row r="238" spans="1:11" x14ac:dyDescent="0.25">
      <c r="A238" s="4" t="s">
        <v>472</v>
      </c>
      <c r="B238" s="5" t="s">
        <v>208</v>
      </c>
      <c r="C238" s="5">
        <v>91908</v>
      </c>
      <c r="D238" s="6">
        <v>46023</v>
      </c>
      <c r="E238" s="7">
        <v>0.13900000000000001</v>
      </c>
      <c r="F238" s="105"/>
      <c r="G238" s="8">
        <v>0.13900000000000001</v>
      </c>
      <c r="H238" s="4" t="s">
        <v>481</v>
      </c>
      <c r="I238" s="5" t="s">
        <v>12</v>
      </c>
      <c r="J238" s="15"/>
      <c r="K238" s="15"/>
    </row>
    <row r="239" spans="1:11" ht="15.75" thickBot="1" x14ac:dyDescent="0.3">
      <c r="A239" s="9" t="s">
        <v>472</v>
      </c>
      <c r="B239" s="10" t="s">
        <v>482</v>
      </c>
      <c r="C239" s="10">
        <v>45480</v>
      </c>
      <c r="D239" s="11">
        <v>46023</v>
      </c>
      <c r="E239" s="12">
        <v>8.4900000000000003E-2</v>
      </c>
      <c r="F239" s="106"/>
      <c r="G239" s="13">
        <v>0.17530000000000001</v>
      </c>
      <c r="H239" s="9" t="s">
        <v>483</v>
      </c>
      <c r="I239" s="10" t="s">
        <v>12</v>
      </c>
      <c r="J239" s="15"/>
      <c r="K239" s="15"/>
    </row>
    <row r="240" spans="1:11" x14ac:dyDescent="0.25">
      <c r="A240" s="4" t="s">
        <v>484</v>
      </c>
      <c r="B240" s="5" t="s">
        <v>485</v>
      </c>
      <c r="C240" s="5">
        <v>63474</v>
      </c>
      <c r="D240" s="6">
        <v>46023</v>
      </c>
      <c r="E240" s="7">
        <v>0.12470000000000001</v>
      </c>
      <c r="F240" s="107">
        <v>9.8000000000000004E-2</v>
      </c>
      <c r="G240" s="8">
        <v>0.12470000000000001</v>
      </c>
      <c r="H240" s="4" t="s">
        <v>486</v>
      </c>
      <c r="I240" s="5" t="s">
        <v>12</v>
      </c>
      <c r="J240" s="15"/>
      <c r="K240" s="15"/>
    </row>
    <row r="241" spans="1:11" x14ac:dyDescent="0.25">
      <c r="A241" s="4" t="s">
        <v>484</v>
      </c>
      <c r="B241" s="5" t="s">
        <v>487</v>
      </c>
      <c r="C241" s="5">
        <v>71287</v>
      </c>
      <c r="D241" s="6">
        <v>46023</v>
      </c>
      <c r="E241" s="7">
        <v>0.12529999999999999</v>
      </c>
      <c r="F241" s="105"/>
      <c r="G241" s="8">
        <v>0.12529999999999999</v>
      </c>
      <c r="H241" s="4" t="s">
        <v>488</v>
      </c>
      <c r="I241" s="5" t="s">
        <v>12</v>
      </c>
      <c r="J241" s="15"/>
      <c r="K241" s="15"/>
    </row>
    <row r="242" spans="1:11" x14ac:dyDescent="0.25">
      <c r="A242" s="4" t="s">
        <v>484</v>
      </c>
      <c r="B242" s="5" t="s">
        <v>167</v>
      </c>
      <c r="C242" s="5">
        <v>39424</v>
      </c>
      <c r="D242" s="6">
        <v>46023</v>
      </c>
      <c r="E242" s="7">
        <v>9.1300000000000006E-2</v>
      </c>
      <c r="F242" s="105"/>
      <c r="G242" s="8">
        <v>9.1300000000000006E-2</v>
      </c>
      <c r="H242" s="4" t="s">
        <v>489</v>
      </c>
      <c r="I242" s="5" t="s">
        <v>12</v>
      </c>
      <c r="J242" s="15"/>
      <c r="K242" s="15"/>
    </row>
    <row r="243" spans="1:11" x14ac:dyDescent="0.25">
      <c r="A243" s="4" t="s">
        <v>484</v>
      </c>
      <c r="B243" s="5" t="s">
        <v>173</v>
      </c>
      <c r="C243" s="5">
        <v>10091</v>
      </c>
      <c r="D243" s="6">
        <v>46023</v>
      </c>
      <c r="E243" s="7">
        <v>4.0099999999999997E-2</v>
      </c>
      <c r="F243" s="105"/>
      <c r="G243" s="8">
        <v>0.04</v>
      </c>
      <c r="H243" s="4" t="s">
        <v>490</v>
      </c>
      <c r="I243" s="5" t="s">
        <v>12</v>
      </c>
      <c r="J243" s="15"/>
      <c r="K243" s="15"/>
    </row>
    <row r="244" spans="1:11" x14ac:dyDescent="0.25">
      <c r="A244" s="4" t="s">
        <v>484</v>
      </c>
      <c r="B244" s="5" t="s">
        <v>491</v>
      </c>
      <c r="C244" s="5">
        <v>56707</v>
      </c>
      <c r="D244" s="6">
        <v>46023</v>
      </c>
      <c r="E244" s="7">
        <v>8.72E-2</v>
      </c>
      <c r="F244" s="105"/>
      <c r="G244" s="8">
        <v>8.72E-2</v>
      </c>
      <c r="H244" s="4" t="s">
        <v>492</v>
      </c>
      <c r="I244" s="5" t="s">
        <v>12</v>
      </c>
      <c r="J244" s="15"/>
      <c r="K244" s="15"/>
    </row>
    <row r="245" spans="1:11" ht="15.75" thickBot="1" x14ac:dyDescent="0.3">
      <c r="A245" s="9" t="s">
        <v>484</v>
      </c>
      <c r="B245" s="10" t="s">
        <v>493</v>
      </c>
      <c r="C245" s="10">
        <v>77969</v>
      </c>
      <c r="D245" s="11">
        <v>46023</v>
      </c>
      <c r="E245" s="12">
        <v>0.1195</v>
      </c>
      <c r="F245" s="106"/>
      <c r="G245" s="13">
        <v>0.1195</v>
      </c>
      <c r="H245" s="9" t="s">
        <v>494</v>
      </c>
      <c r="I245" s="10" t="s">
        <v>12</v>
      </c>
      <c r="J245" s="15"/>
      <c r="K245" s="15"/>
    </row>
    <row r="246" spans="1:11" x14ac:dyDescent="0.25">
      <c r="A246" s="4" t="s">
        <v>495</v>
      </c>
      <c r="B246" s="5" t="s">
        <v>496</v>
      </c>
      <c r="C246" s="51">
        <v>15983</v>
      </c>
      <c r="D246" s="6">
        <v>46023</v>
      </c>
      <c r="E246" s="7">
        <v>0.39510000000000001</v>
      </c>
      <c r="F246" s="107">
        <v>0.18210000000000001</v>
      </c>
      <c r="G246" s="55">
        <v>0.38690000000000002</v>
      </c>
      <c r="H246" s="4" t="s">
        <v>497</v>
      </c>
      <c r="I246" s="5" t="s">
        <v>12</v>
      </c>
      <c r="J246" s="15"/>
      <c r="K246" s="15"/>
    </row>
    <row r="247" spans="1:11" x14ac:dyDescent="0.25">
      <c r="A247" s="4" t="s">
        <v>495</v>
      </c>
      <c r="B247" s="5" t="s">
        <v>498</v>
      </c>
      <c r="C247" s="5">
        <v>45127</v>
      </c>
      <c r="D247" s="6">
        <v>46023</v>
      </c>
      <c r="E247" s="7">
        <v>0.32950000000000002</v>
      </c>
      <c r="F247" s="105"/>
      <c r="G247" s="55">
        <v>0.3145</v>
      </c>
      <c r="H247" s="4" t="s">
        <v>499</v>
      </c>
      <c r="I247" s="5" t="s">
        <v>12</v>
      </c>
      <c r="J247" s="15"/>
      <c r="K247" s="15"/>
    </row>
    <row r="248" spans="1:11" x14ac:dyDescent="0.25">
      <c r="A248" s="4" t="s">
        <v>495</v>
      </c>
      <c r="B248" s="5" t="s">
        <v>500</v>
      </c>
      <c r="C248" s="5">
        <v>22444</v>
      </c>
      <c r="D248" s="6">
        <v>46023</v>
      </c>
      <c r="E248" s="7">
        <v>0.1159</v>
      </c>
      <c r="F248" s="105"/>
      <c r="G248" s="55">
        <v>0.1159</v>
      </c>
      <c r="H248" s="4" t="s">
        <v>501</v>
      </c>
      <c r="I248" s="5" t="s">
        <v>12</v>
      </c>
      <c r="J248" s="15"/>
      <c r="K248" s="15"/>
    </row>
    <row r="249" spans="1:11" x14ac:dyDescent="0.25">
      <c r="A249" s="4" t="s">
        <v>495</v>
      </c>
      <c r="B249" s="5" t="s">
        <v>502</v>
      </c>
      <c r="C249" s="5">
        <v>75729</v>
      </c>
      <c r="D249" s="6">
        <v>46023</v>
      </c>
      <c r="E249" s="7">
        <v>0.13769999999999999</v>
      </c>
      <c r="F249" s="105"/>
      <c r="G249" s="55">
        <v>0.13769999999999999</v>
      </c>
      <c r="H249" s="4" t="s">
        <v>503</v>
      </c>
      <c r="I249" s="5" t="s">
        <v>12</v>
      </c>
      <c r="J249" s="15"/>
      <c r="K249" s="15"/>
    </row>
    <row r="250" spans="1:11" x14ac:dyDescent="0.25">
      <c r="A250" s="4" t="s">
        <v>495</v>
      </c>
      <c r="B250" s="5" t="s">
        <v>504</v>
      </c>
      <c r="C250" s="5">
        <v>79962</v>
      </c>
      <c r="D250" s="6">
        <v>46023</v>
      </c>
      <c r="E250" s="7">
        <v>0.1792</v>
      </c>
      <c r="F250" s="105"/>
      <c r="G250" s="55">
        <v>0.18340000000000001</v>
      </c>
      <c r="H250" s="4" t="s">
        <v>505</v>
      </c>
      <c r="I250" s="5" t="s">
        <v>12</v>
      </c>
      <c r="J250" s="15"/>
      <c r="K250" s="15"/>
    </row>
    <row r="251" spans="1:11" x14ac:dyDescent="0.25">
      <c r="A251" s="4" t="s">
        <v>495</v>
      </c>
      <c r="B251" s="5" t="s">
        <v>506</v>
      </c>
      <c r="C251" s="5">
        <v>79279</v>
      </c>
      <c r="D251" s="6">
        <v>46023</v>
      </c>
      <c r="E251" s="7">
        <v>0.1406</v>
      </c>
      <c r="F251" s="105"/>
      <c r="G251" s="55">
        <v>0.1444</v>
      </c>
      <c r="H251" s="4" t="s">
        <v>507</v>
      </c>
      <c r="I251" s="5" t="s">
        <v>12</v>
      </c>
      <c r="J251" s="15"/>
      <c r="K251" s="15"/>
    </row>
    <row r="252" spans="1:11" x14ac:dyDescent="0.25">
      <c r="A252" s="4" t="s">
        <v>495</v>
      </c>
      <c r="B252" s="5" t="s">
        <v>508</v>
      </c>
      <c r="C252" s="5">
        <v>33709</v>
      </c>
      <c r="D252" s="6">
        <v>46023</v>
      </c>
      <c r="E252" s="7">
        <v>0.1726</v>
      </c>
      <c r="F252" s="105"/>
      <c r="G252" s="55">
        <v>0.17799999999999999</v>
      </c>
      <c r="H252" s="4" t="s">
        <v>509</v>
      </c>
      <c r="I252" s="5" t="s">
        <v>12</v>
      </c>
      <c r="J252" s="15"/>
      <c r="K252" s="15"/>
    </row>
    <row r="253" spans="1:11" x14ac:dyDescent="0.25">
      <c r="A253" s="4" t="s">
        <v>495</v>
      </c>
      <c r="B253" s="5" t="s">
        <v>510</v>
      </c>
      <c r="C253" s="18">
        <v>93909</v>
      </c>
      <c r="D253" s="6">
        <v>46023</v>
      </c>
      <c r="E253" s="7">
        <v>7.0499999999999993E-2</v>
      </c>
      <c r="F253" s="105"/>
      <c r="G253" s="55">
        <v>0.16800000000000001</v>
      </c>
      <c r="H253" s="4" t="s">
        <v>511</v>
      </c>
      <c r="I253" s="5" t="s">
        <v>12</v>
      </c>
      <c r="J253" s="15"/>
      <c r="K253" s="15"/>
    </row>
    <row r="254" spans="1:11" x14ac:dyDescent="0.25">
      <c r="A254" s="4" t="s">
        <v>495</v>
      </c>
      <c r="B254" s="5" t="s">
        <v>512</v>
      </c>
      <c r="C254" s="5">
        <v>53789</v>
      </c>
      <c r="D254" s="6">
        <v>46023</v>
      </c>
      <c r="E254" s="7">
        <v>0.29339999999999999</v>
      </c>
      <c r="F254" s="105"/>
      <c r="G254" s="55">
        <v>0.27829999999999999</v>
      </c>
      <c r="H254" s="4" t="s">
        <v>513</v>
      </c>
      <c r="I254" s="5" t="s">
        <v>12</v>
      </c>
      <c r="J254" s="15"/>
      <c r="K254" s="15"/>
    </row>
    <row r="255" spans="1:11" x14ac:dyDescent="0.25">
      <c r="A255" s="4" t="s">
        <v>495</v>
      </c>
      <c r="B255" s="5" t="s">
        <v>514</v>
      </c>
      <c r="C255" s="5">
        <v>33871</v>
      </c>
      <c r="D255" s="6">
        <v>46023</v>
      </c>
      <c r="E255" s="7">
        <v>0.22040000000000001</v>
      </c>
      <c r="F255" s="105"/>
      <c r="G255" s="55">
        <v>0.22040000000000001</v>
      </c>
      <c r="H255" s="4" t="s">
        <v>515</v>
      </c>
      <c r="I255" s="5" t="s">
        <v>12</v>
      </c>
      <c r="J255" s="15"/>
      <c r="K255" s="15"/>
    </row>
    <row r="256" spans="1:11" x14ac:dyDescent="0.25">
      <c r="A256" s="4" t="s">
        <v>495</v>
      </c>
      <c r="B256" s="5" t="s">
        <v>516</v>
      </c>
      <c r="C256" s="5">
        <v>98517</v>
      </c>
      <c r="D256" s="6">
        <v>46023</v>
      </c>
      <c r="E256" s="7">
        <v>0.2359</v>
      </c>
      <c r="F256" s="105"/>
      <c r="G256" s="55">
        <v>0.23549999999999999</v>
      </c>
      <c r="H256" s="4" t="s">
        <v>517</v>
      </c>
      <c r="I256" s="5" t="s">
        <v>12</v>
      </c>
      <c r="J256" s="15"/>
      <c r="K256" s="15"/>
    </row>
    <row r="257" spans="1:11" x14ac:dyDescent="0.25">
      <c r="A257" s="4" t="s">
        <v>495</v>
      </c>
      <c r="B257" s="5" t="s">
        <v>518</v>
      </c>
      <c r="C257" s="5">
        <v>19702</v>
      </c>
      <c r="D257" s="6">
        <v>46023</v>
      </c>
      <c r="E257" s="7">
        <v>-0.1007</v>
      </c>
      <c r="F257" s="105"/>
      <c r="G257" s="55">
        <v>-0.1021</v>
      </c>
      <c r="H257" s="4" t="s">
        <v>519</v>
      </c>
      <c r="I257" s="5" t="s">
        <v>12</v>
      </c>
      <c r="J257" s="15"/>
      <c r="K257" s="15"/>
    </row>
    <row r="258" spans="1:11" x14ac:dyDescent="0.25">
      <c r="A258" s="4" t="s">
        <v>495</v>
      </c>
      <c r="B258" s="5" t="s">
        <v>520</v>
      </c>
      <c r="C258" s="5">
        <v>31609</v>
      </c>
      <c r="D258" s="6">
        <v>46023</v>
      </c>
      <c r="E258" s="7">
        <v>0.15190000000000001</v>
      </c>
      <c r="F258" s="105"/>
      <c r="G258" s="55">
        <v>0.15190000000000001</v>
      </c>
      <c r="H258" s="4" t="s">
        <v>521</v>
      </c>
      <c r="I258" s="5" t="s">
        <v>12</v>
      </c>
      <c r="J258" s="15"/>
      <c r="K258" s="15"/>
    </row>
    <row r="259" spans="1:11" x14ac:dyDescent="0.25">
      <c r="A259" s="4" t="s">
        <v>495</v>
      </c>
      <c r="B259" s="5" t="s">
        <v>522</v>
      </c>
      <c r="C259" s="5">
        <v>16322</v>
      </c>
      <c r="D259" s="6">
        <v>46023</v>
      </c>
      <c r="E259" s="7">
        <v>0.1794</v>
      </c>
      <c r="F259" s="105"/>
      <c r="G259" s="55">
        <v>0.19889999999999999</v>
      </c>
      <c r="H259" s="4" t="s">
        <v>523</v>
      </c>
      <c r="I259" s="5" t="s">
        <v>12</v>
      </c>
      <c r="J259" s="15"/>
      <c r="K259" s="15"/>
    </row>
    <row r="260" spans="1:11" ht="15.75" thickBot="1" x14ac:dyDescent="0.3">
      <c r="A260" s="9" t="s">
        <v>495</v>
      </c>
      <c r="B260" s="10" t="s">
        <v>524</v>
      </c>
      <c r="C260" s="10">
        <v>62560</v>
      </c>
      <c r="D260" s="11">
        <v>46023</v>
      </c>
      <c r="E260" s="12">
        <v>0.2099</v>
      </c>
      <c r="F260" s="106"/>
      <c r="G260" s="55">
        <v>0.2286</v>
      </c>
      <c r="H260" s="9" t="s">
        <v>525</v>
      </c>
      <c r="I260" s="10" t="s">
        <v>12</v>
      </c>
      <c r="J260" s="15"/>
      <c r="K260" s="15"/>
    </row>
    <row r="261" spans="1:11" x14ac:dyDescent="0.25">
      <c r="A261" s="4" t="s">
        <v>526</v>
      </c>
      <c r="B261" s="5" t="s">
        <v>527</v>
      </c>
      <c r="C261" s="5">
        <v>15287</v>
      </c>
      <c r="D261" s="6">
        <v>46023</v>
      </c>
      <c r="E261" s="7">
        <v>0.28870000000000001</v>
      </c>
      <c r="F261" s="107">
        <v>0.25</v>
      </c>
      <c r="G261" s="8">
        <v>0.21970000000000001</v>
      </c>
      <c r="H261" s="4" t="s">
        <v>528</v>
      </c>
      <c r="I261" s="5" t="s">
        <v>12</v>
      </c>
      <c r="J261" s="15"/>
      <c r="K261" s="15"/>
    </row>
    <row r="262" spans="1:11" ht="15.75" thickBot="1" x14ac:dyDescent="0.3">
      <c r="A262" s="9" t="s">
        <v>526</v>
      </c>
      <c r="B262" s="10" t="s">
        <v>529</v>
      </c>
      <c r="C262" s="10">
        <v>77514</v>
      </c>
      <c r="D262" s="11">
        <v>46023</v>
      </c>
      <c r="E262" s="12">
        <v>0.21129999999999999</v>
      </c>
      <c r="F262" s="106"/>
      <c r="G262" s="13">
        <v>0.2054</v>
      </c>
      <c r="H262" s="9" t="s">
        <v>530</v>
      </c>
      <c r="I262" s="10" t="s">
        <v>12</v>
      </c>
      <c r="J262" s="15"/>
      <c r="K262" s="15"/>
    </row>
    <row r="263" spans="1:11" x14ac:dyDescent="0.25">
      <c r="A263" s="4" t="s">
        <v>531</v>
      </c>
      <c r="B263" s="5" t="s">
        <v>532</v>
      </c>
      <c r="C263" s="14">
        <v>79222</v>
      </c>
      <c r="D263" s="6">
        <v>46023</v>
      </c>
      <c r="E263" s="7">
        <v>0.27289999999999998</v>
      </c>
      <c r="F263" s="107">
        <v>0.25719999999999998</v>
      </c>
      <c r="G263" s="8">
        <v>0.20549999999999999</v>
      </c>
      <c r="H263" s="4" t="s">
        <v>533</v>
      </c>
      <c r="I263" s="4" t="s">
        <v>12</v>
      </c>
      <c r="J263" s="15"/>
      <c r="K263" s="15"/>
    </row>
    <row r="264" spans="1:11" x14ac:dyDescent="0.25">
      <c r="A264" s="4" t="s">
        <v>531</v>
      </c>
      <c r="B264" s="5" t="s">
        <v>534</v>
      </c>
      <c r="C264" s="5">
        <v>49532</v>
      </c>
      <c r="D264" s="6">
        <v>46023</v>
      </c>
      <c r="E264" s="7">
        <v>0.19750000000000001</v>
      </c>
      <c r="F264" s="105"/>
      <c r="G264" s="8">
        <v>0.22209999999999999</v>
      </c>
      <c r="H264" s="4" t="s">
        <v>535</v>
      </c>
      <c r="I264" s="4" t="s">
        <v>12</v>
      </c>
      <c r="J264" s="15"/>
      <c r="K264" s="15"/>
    </row>
    <row r="265" spans="1:11" x14ac:dyDescent="0.25">
      <c r="A265" s="4" t="s">
        <v>531</v>
      </c>
      <c r="B265" s="5" t="s">
        <v>536</v>
      </c>
      <c r="C265" s="5">
        <v>26065</v>
      </c>
      <c r="D265" s="6">
        <v>46023</v>
      </c>
      <c r="E265" s="7">
        <v>0.1976</v>
      </c>
      <c r="F265" s="105"/>
      <c r="G265" s="8">
        <v>0.1754</v>
      </c>
      <c r="H265" s="4" t="s">
        <v>537</v>
      </c>
      <c r="I265" s="4" t="s">
        <v>12</v>
      </c>
      <c r="J265" s="15"/>
      <c r="K265" s="15"/>
    </row>
    <row r="266" spans="1:11" x14ac:dyDescent="0.25">
      <c r="A266" s="4" t="s">
        <v>531</v>
      </c>
      <c r="B266" s="5" t="s">
        <v>13</v>
      </c>
      <c r="C266" s="5">
        <v>60067</v>
      </c>
      <c r="D266" s="6">
        <v>46023</v>
      </c>
      <c r="E266" s="7">
        <v>0.19800000000000001</v>
      </c>
      <c r="F266" s="105"/>
      <c r="G266" s="8">
        <v>0.16789999999999999</v>
      </c>
      <c r="H266" s="4" t="s">
        <v>538</v>
      </c>
      <c r="I266" s="4" t="s">
        <v>12</v>
      </c>
      <c r="J266" s="15"/>
      <c r="K266" s="15"/>
    </row>
    <row r="267" spans="1:11" x14ac:dyDescent="0.25">
      <c r="A267" s="4" t="s">
        <v>531</v>
      </c>
      <c r="B267" s="5" t="s">
        <v>539</v>
      </c>
      <c r="C267" s="5">
        <v>33863</v>
      </c>
      <c r="D267" s="6">
        <v>46023</v>
      </c>
      <c r="E267" s="7">
        <v>0.24460000000000001</v>
      </c>
      <c r="F267" s="105"/>
      <c r="G267" s="8">
        <v>0.2056</v>
      </c>
      <c r="H267" s="4" t="s">
        <v>540</v>
      </c>
      <c r="I267" s="4" t="s">
        <v>12</v>
      </c>
      <c r="J267" s="15"/>
      <c r="K267" s="15"/>
    </row>
    <row r="268" spans="1:11" x14ac:dyDescent="0.25">
      <c r="A268" s="4" t="s">
        <v>531</v>
      </c>
      <c r="B268" s="5" t="s">
        <v>541</v>
      </c>
      <c r="C268" s="5">
        <v>42326</v>
      </c>
      <c r="D268" s="6">
        <v>46023</v>
      </c>
      <c r="E268" s="7">
        <v>0.2452</v>
      </c>
      <c r="F268" s="105"/>
      <c r="G268" s="8">
        <v>0.2389</v>
      </c>
      <c r="H268" s="4" t="s">
        <v>542</v>
      </c>
      <c r="I268" s="4" t="s">
        <v>12</v>
      </c>
      <c r="J268" s="15"/>
      <c r="K268" s="15"/>
    </row>
    <row r="269" spans="1:11" x14ac:dyDescent="0.25">
      <c r="A269" s="4" t="s">
        <v>531</v>
      </c>
      <c r="B269" s="5" t="s">
        <v>543</v>
      </c>
      <c r="C269" s="5">
        <v>73107</v>
      </c>
      <c r="D269" s="6">
        <v>46023</v>
      </c>
      <c r="E269" s="7">
        <v>0.3322</v>
      </c>
      <c r="F269" s="105"/>
      <c r="G269" s="8">
        <v>0.25230000000000002</v>
      </c>
      <c r="H269" s="4" t="s">
        <v>544</v>
      </c>
      <c r="I269" s="4" t="s">
        <v>12</v>
      </c>
      <c r="J269" s="15"/>
      <c r="K269" s="15"/>
    </row>
    <row r="270" spans="1:11" ht="15.75" thickBot="1" x14ac:dyDescent="0.3">
      <c r="A270" s="9" t="s">
        <v>531</v>
      </c>
      <c r="B270" s="10" t="s">
        <v>545</v>
      </c>
      <c r="C270" s="10">
        <v>33764</v>
      </c>
      <c r="D270" s="11">
        <v>46023</v>
      </c>
      <c r="E270" s="12">
        <v>0.36930000000000002</v>
      </c>
      <c r="F270" s="106"/>
      <c r="G270" s="13">
        <v>0.25209999999999999</v>
      </c>
      <c r="H270" s="9" t="s">
        <v>546</v>
      </c>
      <c r="I270" s="9" t="s">
        <v>12</v>
      </c>
      <c r="J270" s="15"/>
      <c r="K270" s="15"/>
    </row>
    <row r="271" spans="1:11" x14ac:dyDescent="0.25">
      <c r="A271" s="4" t="s">
        <v>547</v>
      </c>
      <c r="B271" s="5" t="s">
        <v>548</v>
      </c>
      <c r="C271" s="5">
        <v>60536</v>
      </c>
      <c r="D271" s="6">
        <v>46023</v>
      </c>
      <c r="E271" s="7">
        <v>8.9099999999999999E-2</v>
      </c>
      <c r="F271" s="107">
        <v>5.28E-2</v>
      </c>
      <c r="G271" s="8">
        <v>8.8999999999999996E-2</v>
      </c>
      <c r="H271" s="4" t="s">
        <v>549</v>
      </c>
      <c r="I271" s="5" t="s">
        <v>12</v>
      </c>
      <c r="J271" s="15"/>
      <c r="K271" s="15"/>
    </row>
    <row r="272" spans="1:11" x14ac:dyDescent="0.25">
      <c r="A272" s="4" t="s">
        <v>547</v>
      </c>
      <c r="B272" s="5" t="s">
        <v>443</v>
      </c>
      <c r="C272" s="5">
        <v>31195</v>
      </c>
      <c r="D272" s="6">
        <v>46023</v>
      </c>
      <c r="E272" s="7">
        <v>5.7599999999999998E-2</v>
      </c>
      <c r="F272" s="105"/>
      <c r="G272" s="8">
        <v>5.7599999999999998E-2</v>
      </c>
      <c r="H272" s="4" t="s">
        <v>550</v>
      </c>
      <c r="I272" s="5" t="s">
        <v>12</v>
      </c>
      <c r="J272" s="15"/>
      <c r="K272" s="15"/>
    </row>
    <row r="273" spans="1:11" ht="15.75" thickBot="1" x14ac:dyDescent="0.3">
      <c r="A273" s="9" t="s">
        <v>547</v>
      </c>
      <c r="B273" s="10" t="s">
        <v>551</v>
      </c>
      <c r="C273" s="10">
        <v>50305</v>
      </c>
      <c r="D273" s="11">
        <v>46023</v>
      </c>
      <c r="E273" s="12">
        <v>1.18E-2</v>
      </c>
      <c r="F273" s="106"/>
      <c r="G273" s="13">
        <v>1.2E-2</v>
      </c>
      <c r="H273" s="9" t="s">
        <v>552</v>
      </c>
      <c r="I273" s="10" t="s">
        <v>12</v>
      </c>
      <c r="J273" s="15"/>
      <c r="K273" s="15"/>
    </row>
    <row r="274" spans="1:11" x14ac:dyDescent="0.25">
      <c r="A274" s="4" t="s">
        <v>553</v>
      </c>
      <c r="B274" s="5" t="s">
        <v>139</v>
      </c>
      <c r="C274" s="14">
        <v>29854</v>
      </c>
      <c r="D274" s="6">
        <v>46023</v>
      </c>
      <c r="E274" s="7">
        <v>7.1000000000000004E-3</v>
      </c>
      <c r="F274" s="107">
        <v>0.29970000000000002</v>
      </c>
      <c r="G274" s="8">
        <v>0.1076</v>
      </c>
      <c r="H274" s="4" t="s">
        <v>554</v>
      </c>
      <c r="I274" s="5" t="s">
        <v>12</v>
      </c>
      <c r="J274" s="15"/>
      <c r="K274" s="15"/>
    </row>
    <row r="275" spans="1:11" x14ac:dyDescent="0.25">
      <c r="A275" s="4" t="s">
        <v>553</v>
      </c>
      <c r="B275" s="5" t="s">
        <v>555</v>
      </c>
      <c r="C275" s="5">
        <v>14002</v>
      </c>
      <c r="D275" s="6">
        <v>46023</v>
      </c>
      <c r="E275" s="7">
        <v>0.41789999999999999</v>
      </c>
      <c r="F275" s="105"/>
      <c r="G275" s="8">
        <v>0.42109999999999997</v>
      </c>
      <c r="H275" s="4" t="s">
        <v>556</v>
      </c>
      <c r="I275" s="5" t="s">
        <v>12</v>
      </c>
      <c r="J275" s="15"/>
      <c r="K275" s="15"/>
    </row>
    <row r="276" spans="1:11" x14ac:dyDescent="0.25">
      <c r="A276" s="4" t="s">
        <v>553</v>
      </c>
      <c r="B276" s="5" t="s">
        <v>13</v>
      </c>
      <c r="C276" s="5">
        <v>70111</v>
      </c>
      <c r="D276" s="6">
        <v>46023</v>
      </c>
      <c r="E276" s="7">
        <v>0.37209999999999999</v>
      </c>
      <c r="F276" s="105"/>
      <c r="G276" s="8">
        <v>0.37209999999999999</v>
      </c>
      <c r="H276" s="4" t="s">
        <v>557</v>
      </c>
      <c r="I276" s="5" t="s">
        <v>12</v>
      </c>
      <c r="J276" s="15"/>
      <c r="K276" s="15"/>
    </row>
    <row r="277" spans="1:11" x14ac:dyDescent="0.25">
      <c r="A277" s="4" t="s">
        <v>553</v>
      </c>
      <c r="B277" s="5" t="s">
        <v>76</v>
      </c>
      <c r="C277" s="5">
        <v>99348</v>
      </c>
      <c r="D277" s="6">
        <v>46023</v>
      </c>
      <c r="E277" s="7">
        <v>0.39019999999999999</v>
      </c>
      <c r="F277" s="105"/>
      <c r="G277" s="8">
        <v>0.4007</v>
      </c>
      <c r="H277" s="4" t="s">
        <v>558</v>
      </c>
      <c r="I277" s="5" t="s">
        <v>12</v>
      </c>
      <c r="J277" s="15"/>
      <c r="K277" s="15"/>
    </row>
    <row r="278" spans="1:11" x14ac:dyDescent="0.25">
      <c r="A278" s="4" t="s">
        <v>553</v>
      </c>
      <c r="B278" s="5" t="s">
        <v>208</v>
      </c>
      <c r="C278" s="5">
        <v>23552</v>
      </c>
      <c r="D278" s="6">
        <v>46023</v>
      </c>
      <c r="E278" s="7">
        <v>0.30020000000000002</v>
      </c>
      <c r="F278" s="105"/>
      <c r="G278" s="8">
        <v>0.35520000000000002</v>
      </c>
      <c r="H278" s="4" t="s">
        <v>559</v>
      </c>
      <c r="I278" s="5" t="s">
        <v>12</v>
      </c>
      <c r="J278" s="15"/>
      <c r="K278" s="15"/>
    </row>
    <row r="279" spans="1:11" ht="15.75" thickBot="1" x14ac:dyDescent="0.3">
      <c r="A279" s="9" t="s">
        <v>553</v>
      </c>
      <c r="B279" s="10" t="s">
        <v>560</v>
      </c>
      <c r="C279" s="10">
        <v>69443</v>
      </c>
      <c r="D279" s="11">
        <v>46023</v>
      </c>
      <c r="E279" s="12">
        <v>0.3105</v>
      </c>
      <c r="F279" s="105"/>
      <c r="G279" s="13">
        <v>0.3019</v>
      </c>
      <c r="H279" s="9" t="s">
        <v>561</v>
      </c>
      <c r="I279" s="5" t="s">
        <v>12</v>
      </c>
      <c r="J279" s="15"/>
      <c r="K279" s="15"/>
    </row>
    <row r="280" spans="1:11" x14ac:dyDescent="0.25">
      <c r="A280" s="4" t="s">
        <v>562</v>
      </c>
      <c r="B280" s="5" t="s">
        <v>563</v>
      </c>
      <c r="C280" s="18">
        <v>11142</v>
      </c>
      <c r="D280" s="6">
        <v>46023</v>
      </c>
      <c r="E280" s="7">
        <v>8.6699999999999999E-2</v>
      </c>
      <c r="F280" s="105">
        <v>0.24049999999999999</v>
      </c>
      <c r="G280" s="8">
        <v>8.48E-2</v>
      </c>
      <c r="H280" s="4" t="s">
        <v>564</v>
      </c>
      <c r="I280" s="5" t="s">
        <v>12</v>
      </c>
      <c r="J280" s="15"/>
      <c r="K280" s="15"/>
    </row>
    <row r="281" spans="1:11" x14ac:dyDescent="0.25">
      <c r="A281" s="4" t="s">
        <v>562</v>
      </c>
      <c r="B281" s="5" t="s">
        <v>565</v>
      </c>
      <c r="C281" s="5">
        <v>40788</v>
      </c>
      <c r="D281" s="6">
        <v>46023</v>
      </c>
      <c r="E281" s="7">
        <v>0.23710000000000001</v>
      </c>
      <c r="F281" s="105"/>
      <c r="G281" s="8">
        <v>0.37890000000000001</v>
      </c>
      <c r="H281" s="4" t="s">
        <v>566</v>
      </c>
      <c r="I281" s="5" t="s">
        <v>12</v>
      </c>
      <c r="J281" s="15"/>
      <c r="K281" s="15"/>
    </row>
    <row r="282" spans="1:11" x14ac:dyDescent="0.25">
      <c r="A282" s="4" t="s">
        <v>562</v>
      </c>
      <c r="B282" s="5" t="s">
        <v>567</v>
      </c>
      <c r="C282" s="18">
        <v>37755</v>
      </c>
      <c r="D282" s="6">
        <v>46023</v>
      </c>
      <c r="E282" s="7">
        <v>0.19550000000000001</v>
      </c>
      <c r="F282" s="105"/>
      <c r="G282" s="8">
        <v>0.19550000000000001</v>
      </c>
      <c r="H282" s="4" t="s">
        <v>568</v>
      </c>
      <c r="I282" s="5" t="s">
        <v>12</v>
      </c>
      <c r="J282" s="15"/>
      <c r="K282" s="15"/>
    </row>
    <row r="283" spans="1:11" x14ac:dyDescent="0.25">
      <c r="A283" s="4" t="s">
        <v>562</v>
      </c>
      <c r="B283" s="5" t="s">
        <v>569</v>
      </c>
      <c r="C283" s="5">
        <v>33602</v>
      </c>
      <c r="D283" s="6">
        <v>46023</v>
      </c>
      <c r="E283" s="7">
        <v>0.39279999999999998</v>
      </c>
      <c r="F283" s="105"/>
      <c r="G283" s="8">
        <v>0.39610000000000001</v>
      </c>
      <c r="H283" s="4" t="s">
        <v>570</v>
      </c>
      <c r="I283" s="5" t="s">
        <v>12</v>
      </c>
      <c r="J283" s="15"/>
      <c r="K283" s="15"/>
    </row>
    <row r="284" spans="1:11" x14ac:dyDescent="0.25">
      <c r="A284" s="4" t="s">
        <v>562</v>
      </c>
      <c r="B284" s="5" t="s">
        <v>13</v>
      </c>
      <c r="C284" s="5">
        <v>29418</v>
      </c>
      <c r="D284" s="6">
        <v>46023</v>
      </c>
      <c r="E284" s="7">
        <v>0.4148</v>
      </c>
      <c r="F284" s="105"/>
      <c r="G284" s="8">
        <v>0.4148</v>
      </c>
      <c r="H284" s="4" t="s">
        <v>571</v>
      </c>
      <c r="I284" s="5" t="s">
        <v>12</v>
      </c>
      <c r="J284" s="15"/>
      <c r="K284" s="15"/>
    </row>
    <row r="285" spans="1:11" x14ac:dyDescent="0.25">
      <c r="A285" s="4" t="s">
        <v>562</v>
      </c>
      <c r="B285" s="5" t="s">
        <v>572</v>
      </c>
      <c r="C285" s="5">
        <v>76589</v>
      </c>
      <c r="D285" s="6">
        <v>46023</v>
      </c>
      <c r="E285" s="7">
        <v>0.42299999999999999</v>
      </c>
      <c r="F285" s="105"/>
      <c r="G285" s="8">
        <v>0.42570000000000002</v>
      </c>
      <c r="H285" s="4" t="s">
        <v>573</v>
      </c>
      <c r="I285" s="5" t="s">
        <v>12</v>
      </c>
      <c r="J285" s="15"/>
      <c r="K285" s="15"/>
    </row>
    <row r="286" spans="1:11" x14ac:dyDescent="0.25">
      <c r="A286" s="4" t="s">
        <v>562</v>
      </c>
      <c r="B286" s="5" t="s">
        <v>574</v>
      </c>
      <c r="C286" s="5">
        <v>63251</v>
      </c>
      <c r="D286" s="6">
        <v>46023</v>
      </c>
      <c r="E286" s="7">
        <v>0.17580000000000001</v>
      </c>
      <c r="F286" s="105"/>
      <c r="G286" s="8">
        <v>0.17580000000000001</v>
      </c>
      <c r="H286" s="4" t="s">
        <v>575</v>
      </c>
      <c r="I286" s="5" t="s">
        <v>12</v>
      </c>
      <c r="J286" s="15"/>
      <c r="K286" s="15"/>
    </row>
    <row r="287" spans="1:11" x14ac:dyDescent="0.25">
      <c r="A287" s="4" t="s">
        <v>562</v>
      </c>
      <c r="B287" s="5" t="s">
        <v>576</v>
      </c>
      <c r="C287" s="5">
        <v>11718</v>
      </c>
      <c r="D287" s="6">
        <v>46023</v>
      </c>
      <c r="E287" s="7">
        <v>0.1802</v>
      </c>
      <c r="F287" s="105"/>
      <c r="G287" s="8">
        <v>0.1923</v>
      </c>
      <c r="H287" s="4" t="s">
        <v>577</v>
      </c>
      <c r="I287" s="5" t="s">
        <v>12</v>
      </c>
      <c r="J287" s="15"/>
      <c r="K287" s="15"/>
    </row>
    <row r="288" spans="1:11" x14ac:dyDescent="0.25">
      <c r="A288" s="4" t="s">
        <v>562</v>
      </c>
      <c r="B288" s="5" t="s">
        <v>578</v>
      </c>
      <c r="C288" s="5">
        <v>27248</v>
      </c>
      <c r="D288" s="6">
        <v>46023</v>
      </c>
      <c r="E288" s="7">
        <v>0.17069999999999999</v>
      </c>
      <c r="F288" s="105"/>
      <c r="G288" s="8">
        <v>0.25850000000000001</v>
      </c>
      <c r="H288" s="4" t="s">
        <v>579</v>
      </c>
      <c r="I288" s="5" t="s">
        <v>12</v>
      </c>
      <c r="J288" s="15"/>
      <c r="K288" s="15"/>
    </row>
    <row r="289" spans="1:11" x14ac:dyDescent="0.25">
      <c r="A289" s="4" t="s">
        <v>562</v>
      </c>
      <c r="B289" s="5" t="s">
        <v>354</v>
      </c>
      <c r="C289" s="5">
        <v>34826</v>
      </c>
      <c r="D289" s="6">
        <v>46023</v>
      </c>
      <c r="E289" s="7">
        <v>8.1500000000000003E-2</v>
      </c>
      <c r="F289" s="105"/>
      <c r="G289" s="8">
        <v>0.22789999999999999</v>
      </c>
      <c r="H289" s="4" t="s">
        <v>580</v>
      </c>
      <c r="I289" s="5" t="s">
        <v>12</v>
      </c>
      <c r="J289" s="15"/>
      <c r="K289" s="15"/>
    </row>
    <row r="290" spans="1:11" x14ac:dyDescent="0.25">
      <c r="A290" s="4" t="s">
        <v>562</v>
      </c>
      <c r="B290" s="5" t="s">
        <v>581</v>
      </c>
      <c r="C290" s="5">
        <v>17933</v>
      </c>
      <c r="D290" s="6">
        <v>46023</v>
      </c>
      <c r="E290" s="7">
        <v>0.1474</v>
      </c>
      <c r="F290" s="105"/>
      <c r="G290" s="8">
        <v>0.37680000000000002</v>
      </c>
      <c r="H290" s="4" t="s">
        <v>582</v>
      </c>
      <c r="I290" s="5" t="s">
        <v>12</v>
      </c>
      <c r="J290" s="15"/>
      <c r="K290" s="15"/>
    </row>
    <row r="291" spans="1:11" x14ac:dyDescent="0.25">
      <c r="A291" s="4" t="s">
        <v>562</v>
      </c>
      <c r="B291" s="5" t="s">
        <v>583</v>
      </c>
      <c r="C291" s="5">
        <v>45786</v>
      </c>
      <c r="D291" s="6">
        <v>46023</v>
      </c>
      <c r="E291" s="7">
        <v>0.29299999999999998</v>
      </c>
      <c r="F291" s="105"/>
      <c r="G291" s="8">
        <v>0.32229999999999998</v>
      </c>
      <c r="H291" s="4" t="s">
        <v>584</v>
      </c>
      <c r="I291" s="5" t="s">
        <v>12</v>
      </c>
      <c r="J291" s="15"/>
      <c r="K291" s="15"/>
    </row>
    <row r="292" spans="1:11" x14ac:dyDescent="0.25">
      <c r="A292" s="4" t="s">
        <v>562</v>
      </c>
      <c r="B292" s="5" t="s">
        <v>208</v>
      </c>
      <c r="C292" s="5">
        <v>20069</v>
      </c>
      <c r="D292" s="6">
        <v>46023</v>
      </c>
      <c r="E292" s="7">
        <v>0.26100000000000001</v>
      </c>
      <c r="F292" s="105"/>
      <c r="G292" s="8">
        <v>0.31230000000000002</v>
      </c>
      <c r="H292" s="4" t="s">
        <v>585</v>
      </c>
      <c r="I292" s="5" t="s">
        <v>12</v>
      </c>
      <c r="J292" s="15"/>
      <c r="K292" s="15"/>
    </row>
    <row r="293" spans="1:11" x14ac:dyDescent="0.25">
      <c r="A293" s="4" t="s">
        <v>562</v>
      </c>
      <c r="B293" s="5" t="s">
        <v>586</v>
      </c>
      <c r="C293" s="5">
        <v>71837</v>
      </c>
      <c r="D293" s="6">
        <v>46023</v>
      </c>
      <c r="E293" s="7">
        <v>0.16220000000000001</v>
      </c>
      <c r="F293" s="105"/>
      <c r="G293" s="8">
        <v>0.16220000000000001</v>
      </c>
      <c r="H293" s="4" t="s">
        <v>587</v>
      </c>
      <c r="I293" s="5" t="s">
        <v>12</v>
      </c>
      <c r="J293" s="15"/>
      <c r="K293" s="15"/>
    </row>
    <row r="294" spans="1:11" x14ac:dyDescent="0.25">
      <c r="A294" s="4" t="s">
        <v>562</v>
      </c>
      <c r="B294" s="5" t="s">
        <v>588</v>
      </c>
      <c r="C294" s="5">
        <v>87226</v>
      </c>
      <c r="D294" s="6">
        <v>46023</v>
      </c>
      <c r="E294" s="7">
        <v>0.35949999999999999</v>
      </c>
      <c r="F294" s="105"/>
      <c r="G294" s="8">
        <v>0.35949999999999999</v>
      </c>
      <c r="H294" s="4" t="s">
        <v>589</v>
      </c>
      <c r="I294" s="5" t="s">
        <v>12</v>
      </c>
      <c r="J294" s="15"/>
      <c r="K294" s="15"/>
    </row>
    <row r="295" spans="1:11" x14ac:dyDescent="0.25">
      <c r="A295" s="4" t="s">
        <v>562</v>
      </c>
      <c r="B295" s="5" t="s">
        <v>590</v>
      </c>
      <c r="C295" s="5">
        <v>40220</v>
      </c>
      <c r="D295" s="6">
        <v>46023</v>
      </c>
      <c r="E295" s="7">
        <v>0.23019999999999999</v>
      </c>
      <c r="F295" s="105"/>
      <c r="G295" s="8">
        <v>0.27479999999999999</v>
      </c>
      <c r="H295" s="4" t="s">
        <v>591</v>
      </c>
      <c r="I295" s="5" t="s">
        <v>12</v>
      </c>
      <c r="J295" s="15"/>
      <c r="K295" s="15"/>
    </row>
    <row r="296" spans="1:11" ht="15.75" thickBot="1" x14ac:dyDescent="0.3">
      <c r="A296" s="9" t="s">
        <v>562</v>
      </c>
      <c r="B296" s="10" t="s">
        <v>592</v>
      </c>
      <c r="C296" s="10">
        <v>47501</v>
      </c>
      <c r="D296" s="11">
        <v>46023</v>
      </c>
      <c r="E296" s="12">
        <v>0.2772</v>
      </c>
      <c r="F296" s="106"/>
      <c r="G296" s="13">
        <v>0.33779999999999999</v>
      </c>
      <c r="H296" s="9" t="s">
        <v>593</v>
      </c>
      <c r="I296" s="10" t="s">
        <v>12</v>
      </c>
      <c r="J296" s="15"/>
      <c r="K296" s="15"/>
    </row>
    <row r="297" spans="1:11" x14ac:dyDescent="0.25">
      <c r="A297" s="4" t="s">
        <v>594</v>
      </c>
      <c r="B297" s="5" t="s">
        <v>485</v>
      </c>
      <c r="C297" s="5">
        <v>34541</v>
      </c>
      <c r="D297" s="6">
        <v>46023</v>
      </c>
      <c r="E297" s="7">
        <v>0.15709999999999999</v>
      </c>
      <c r="F297" s="107">
        <v>0.1769</v>
      </c>
      <c r="G297" s="8">
        <v>0.15709999999999999</v>
      </c>
      <c r="H297" s="4" t="s">
        <v>595</v>
      </c>
      <c r="I297" s="5" t="s">
        <v>12</v>
      </c>
      <c r="J297" s="15"/>
      <c r="K297" s="15"/>
    </row>
    <row r="298" spans="1:11" x14ac:dyDescent="0.25">
      <c r="A298" s="4" t="s">
        <v>594</v>
      </c>
      <c r="B298" s="5" t="s">
        <v>596</v>
      </c>
      <c r="C298" s="5">
        <v>98113</v>
      </c>
      <c r="D298" s="6">
        <v>46023</v>
      </c>
      <c r="E298" s="7">
        <v>0.14180000000000001</v>
      </c>
      <c r="F298" s="105"/>
      <c r="G298" s="8">
        <v>0.14180000000000001</v>
      </c>
      <c r="H298" s="4" t="s">
        <v>597</v>
      </c>
      <c r="I298" s="5" t="s">
        <v>12</v>
      </c>
      <c r="J298" s="15"/>
      <c r="K298" s="15"/>
    </row>
    <row r="299" spans="1:11" x14ac:dyDescent="0.25">
      <c r="A299" s="4" t="s">
        <v>594</v>
      </c>
      <c r="B299" s="5" t="s">
        <v>598</v>
      </c>
      <c r="C299" s="5">
        <v>18167</v>
      </c>
      <c r="D299" s="6">
        <v>46023</v>
      </c>
      <c r="E299" s="7">
        <v>0.316</v>
      </c>
      <c r="F299" s="105"/>
      <c r="G299" s="8">
        <v>0.3211</v>
      </c>
      <c r="H299" s="4" t="s">
        <v>599</v>
      </c>
      <c r="I299" s="5" t="s">
        <v>12</v>
      </c>
      <c r="J299" s="15"/>
      <c r="K299" s="15"/>
    </row>
    <row r="300" spans="1:11" x14ac:dyDescent="0.25">
      <c r="A300" s="4" t="s">
        <v>594</v>
      </c>
      <c r="B300" s="5" t="s">
        <v>600</v>
      </c>
      <c r="C300" s="5">
        <v>22013</v>
      </c>
      <c r="D300" s="6">
        <v>46023</v>
      </c>
      <c r="E300" s="7">
        <v>0.14219999999999999</v>
      </c>
      <c r="F300" s="105"/>
      <c r="G300" s="8">
        <v>0.14630000000000001</v>
      </c>
      <c r="H300" s="4" t="s">
        <v>601</v>
      </c>
      <c r="I300" s="5" t="s">
        <v>12</v>
      </c>
      <c r="J300" s="15"/>
      <c r="K300" s="15"/>
    </row>
    <row r="301" spans="1:11" x14ac:dyDescent="0.25">
      <c r="A301" s="4" t="s">
        <v>594</v>
      </c>
      <c r="B301" s="5" t="s">
        <v>602</v>
      </c>
      <c r="C301" s="5">
        <v>68781</v>
      </c>
      <c r="D301" s="6">
        <v>46023</v>
      </c>
      <c r="E301" s="7">
        <v>0.12820000000000001</v>
      </c>
      <c r="F301" s="105"/>
      <c r="G301" s="8">
        <v>0.12820000000000001</v>
      </c>
      <c r="H301" s="4" t="s">
        <v>603</v>
      </c>
      <c r="I301" s="5" t="s">
        <v>12</v>
      </c>
      <c r="J301" s="15"/>
      <c r="K301" s="15"/>
    </row>
    <row r="302" spans="1:11" ht="15.75" thickBot="1" x14ac:dyDescent="0.3">
      <c r="A302" s="9" t="s">
        <v>594</v>
      </c>
      <c r="B302" s="10" t="s">
        <v>604</v>
      </c>
      <c r="C302" s="10">
        <v>42261</v>
      </c>
      <c r="D302" s="11">
        <v>46023</v>
      </c>
      <c r="E302" s="12">
        <v>0.17599999999999999</v>
      </c>
      <c r="F302" s="106"/>
      <c r="G302" s="13">
        <v>0.17649999999999999</v>
      </c>
      <c r="H302" s="9" t="s">
        <v>605</v>
      </c>
      <c r="I302" s="10" t="s">
        <v>12</v>
      </c>
      <c r="J302" s="15"/>
      <c r="K302" s="15"/>
    </row>
    <row r="303" spans="1:11" x14ac:dyDescent="0.25">
      <c r="A303" s="4" t="s">
        <v>606</v>
      </c>
      <c r="B303" s="5" t="s">
        <v>607</v>
      </c>
      <c r="C303" s="14">
        <v>13627</v>
      </c>
      <c r="D303" s="6">
        <v>46023</v>
      </c>
      <c r="E303" s="7">
        <v>0.23250000000000001</v>
      </c>
      <c r="F303" s="107">
        <v>0.14749999999999999</v>
      </c>
      <c r="G303" s="8">
        <v>9.5500000000000002E-2</v>
      </c>
      <c r="H303" s="4" t="s">
        <v>608</v>
      </c>
      <c r="I303" s="5" t="s">
        <v>12</v>
      </c>
      <c r="J303" s="15"/>
      <c r="K303" s="15"/>
    </row>
    <row r="304" spans="1:11" ht="15.75" thickBot="1" x14ac:dyDescent="0.3">
      <c r="A304" s="9" t="s">
        <v>606</v>
      </c>
      <c r="B304" s="10" t="s">
        <v>413</v>
      </c>
      <c r="C304" s="10">
        <v>77566</v>
      </c>
      <c r="D304" s="11">
        <v>46023</v>
      </c>
      <c r="E304" s="12">
        <v>6.2399999999999997E-2</v>
      </c>
      <c r="F304" s="106"/>
      <c r="G304" s="13">
        <v>1.32E-2</v>
      </c>
      <c r="H304" s="9" t="s">
        <v>609</v>
      </c>
      <c r="I304" s="10" t="s">
        <v>12</v>
      </c>
      <c r="J304" s="15"/>
      <c r="K304" s="15"/>
    </row>
    <row r="305" spans="1:11" x14ac:dyDescent="0.25">
      <c r="A305" s="4" t="s">
        <v>610</v>
      </c>
      <c r="B305" s="5" t="s">
        <v>611</v>
      </c>
      <c r="C305" s="5">
        <v>16064</v>
      </c>
      <c r="D305" s="6">
        <v>46023</v>
      </c>
      <c r="E305" s="7">
        <v>0.23080000000000001</v>
      </c>
      <c r="F305" s="107">
        <v>0.16550000000000001</v>
      </c>
      <c r="G305" s="8">
        <v>0.23080000000000001</v>
      </c>
      <c r="H305" s="4" t="s">
        <v>612</v>
      </c>
      <c r="I305" s="5" t="s">
        <v>12</v>
      </c>
      <c r="J305" s="15"/>
      <c r="K305" s="15"/>
    </row>
    <row r="306" spans="1:11" x14ac:dyDescent="0.25">
      <c r="A306" s="4" t="s">
        <v>610</v>
      </c>
      <c r="B306" s="5" t="s">
        <v>104</v>
      </c>
      <c r="C306" s="5">
        <v>10207</v>
      </c>
      <c r="D306" s="6">
        <v>46023</v>
      </c>
      <c r="E306" s="7">
        <v>0.17369999999999999</v>
      </c>
      <c r="F306" s="105"/>
      <c r="G306" s="8">
        <v>0.18210000000000001</v>
      </c>
      <c r="H306" s="4" t="s">
        <v>613</v>
      </c>
      <c r="I306" s="5" t="s">
        <v>12</v>
      </c>
      <c r="J306" s="15"/>
      <c r="K306" s="15"/>
    </row>
    <row r="307" spans="1:11" x14ac:dyDescent="0.25">
      <c r="A307" s="4" t="s">
        <v>610</v>
      </c>
      <c r="B307" s="5" t="s">
        <v>76</v>
      </c>
      <c r="C307" s="5">
        <v>41921</v>
      </c>
      <c r="D307" s="6">
        <v>46023</v>
      </c>
      <c r="E307" s="7">
        <v>0.1681</v>
      </c>
      <c r="F307" s="105"/>
      <c r="G307" s="8">
        <v>0.2281</v>
      </c>
      <c r="H307" s="4" t="s">
        <v>614</v>
      </c>
      <c r="I307" s="5" t="s">
        <v>12</v>
      </c>
      <c r="J307" s="15"/>
      <c r="K307" s="15"/>
    </row>
    <row r="308" spans="1:11" x14ac:dyDescent="0.25">
      <c r="A308" s="4" t="s">
        <v>610</v>
      </c>
      <c r="B308" s="5" t="s">
        <v>106</v>
      </c>
      <c r="C308" s="18">
        <v>40308</v>
      </c>
      <c r="D308" s="6">
        <v>46023</v>
      </c>
      <c r="E308" s="7">
        <v>1.09E-2</v>
      </c>
      <c r="F308" s="105"/>
      <c r="G308" s="8">
        <v>1.09E-2</v>
      </c>
      <c r="H308" s="4" t="s">
        <v>615</v>
      </c>
      <c r="I308" s="5" t="s">
        <v>12</v>
      </c>
      <c r="J308" s="15"/>
      <c r="K308" s="15"/>
    </row>
    <row r="309" spans="1:11" x14ac:dyDescent="0.25">
      <c r="A309" s="4" t="s">
        <v>610</v>
      </c>
      <c r="B309" s="5" t="s">
        <v>616</v>
      </c>
      <c r="C309" s="5">
        <v>88380</v>
      </c>
      <c r="D309" s="6">
        <v>46023</v>
      </c>
      <c r="E309" s="7">
        <v>0.2036</v>
      </c>
      <c r="F309" s="105"/>
      <c r="G309" s="8">
        <v>0.2092</v>
      </c>
      <c r="H309" s="4" t="s">
        <v>617</v>
      </c>
      <c r="I309" s="5" t="s">
        <v>12</v>
      </c>
      <c r="J309" s="15"/>
      <c r="K309" s="15"/>
    </row>
    <row r="310" spans="1:11" x14ac:dyDescent="0.25">
      <c r="A310" s="4" t="s">
        <v>610</v>
      </c>
      <c r="B310" s="5" t="s">
        <v>108</v>
      </c>
      <c r="C310" s="5">
        <v>95185</v>
      </c>
      <c r="D310" s="6">
        <v>46023</v>
      </c>
      <c r="E310" s="7">
        <v>0.1163</v>
      </c>
      <c r="F310" s="105"/>
      <c r="G310" s="8">
        <v>0.1178</v>
      </c>
      <c r="H310" s="4" t="s">
        <v>618</v>
      </c>
      <c r="I310" s="5" t="s">
        <v>12</v>
      </c>
      <c r="J310" s="15"/>
      <c r="K310" s="15"/>
    </row>
    <row r="311" spans="1:11" x14ac:dyDescent="0.25">
      <c r="A311" s="4" t="s">
        <v>610</v>
      </c>
      <c r="B311" s="5" t="s">
        <v>255</v>
      </c>
      <c r="C311" s="5">
        <v>24251</v>
      </c>
      <c r="D311" s="6">
        <v>46023</v>
      </c>
      <c r="E311" s="7">
        <v>0.35</v>
      </c>
      <c r="F311" s="105"/>
      <c r="G311" s="8">
        <v>0.35389999999999999</v>
      </c>
      <c r="H311" s="4" t="s">
        <v>619</v>
      </c>
      <c r="I311" s="5" t="s">
        <v>12</v>
      </c>
      <c r="J311" s="15"/>
      <c r="K311" s="15"/>
    </row>
    <row r="312" spans="1:11" x14ac:dyDescent="0.25">
      <c r="A312" s="4" t="s">
        <v>610</v>
      </c>
      <c r="B312" s="5" t="s">
        <v>208</v>
      </c>
      <c r="C312" s="5">
        <v>25922</v>
      </c>
      <c r="D312" s="6">
        <v>46023</v>
      </c>
      <c r="E312" s="7">
        <v>0.03</v>
      </c>
      <c r="F312" s="105"/>
      <c r="G312" s="8">
        <v>0.03</v>
      </c>
      <c r="H312" s="4" t="s">
        <v>620</v>
      </c>
      <c r="I312" s="5" t="s">
        <v>12</v>
      </c>
      <c r="J312" s="15"/>
      <c r="K312" s="15"/>
    </row>
    <row r="313" spans="1:11" ht="15.75" thickBot="1" x14ac:dyDescent="0.3">
      <c r="A313" s="9" t="s">
        <v>610</v>
      </c>
      <c r="B313" s="10" t="s">
        <v>621</v>
      </c>
      <c r="C313" s="53">
        <v>20507</v>
      </c>
      <c r="D313" s="11">
        <v>46023</v>
      </c>
      <c r="E313" s="12">
        <v>0.20580000000000001</v>
      </c>
      <c r="F313" s="106"/>
      <c r="G313" s="13">
        <v>0.22450000000000001</v>
      </c>
      <c r="H313" s="9" t="s">
        <v>622</v>
      </c>
      <c r="I313" s="10" t="s">
        <v>12</v>
      </c>
      <c r="J313" s="15"/>
      <c r="K313" s="15"/>
    </row>
    <row r="314" spans="1:11" x14ac:dyDescent="0.25">
      <c r="A314" s="4" t="s">
        <v>623</v>
      </c>
      <c r="B314" s="5" t="s">
        <v>624</v>
      </c>
      <c r="C314" s="5">
        <v>69364</v>
      </c>
      <c r="D314" s="6">
        <v>46023</v>
      </c>
      <c r="E314" s="7">
        <v>0.13170000000000001</v>
      </c>
      <c r="F314" s="107">
        <v>0.18759999999999999</v>
      </c>
      <c r="G314" s="8">
        <v>0.13170000000000001</v>
      </c>
      <c r="H314" s="4" t="s">
        <v>625</v>
      </c>
      <c r="I314" s="5" t="s">
        <v>12</v>
      </c>
      <c r="J314" s="15"/>
      <c r="K314" s="15"/>
    </row>
    <row r="315" spans="1:11" x14ac:dyDescent="0.25">
      <c r="A315" s="4" t="s">
        <v>623</v>
      </c>
      <c r="B315" s="5" t="s">
        <v>485</v>
      </c>
      <c r="C315" s="5">
        <v>53732</v>
      </c>
      <c r="D315" s="6">
        <v>46023</v>
      </c>
      <c r="E315" s="7">
        <v>0.10199999999999999</v>
      </c>
      <c r="F315" s="105"/>
      <c r="G315" s="8">
        <v>0.10199999999999999</v>
      </c>
      <c r="H315" s="4" t="s">
        <v>626</v>
      </c>
      <c r="I315" s="5" t="s">
        <v>12</v>
      </c>
      <c r="J315" s="15"/>
      <c r="K315" s="15"/>
    </row>
    <row r="316" spans="1:11" x14ac:dyDescent="0.25">
      <c r="A316" s="4" t="s">
        <v>623</v>
      </c>
      <c r="B316" s="5" t="s">
        <v>627</v>
      </c>
      <c r="C316" s="5">
        <v>18581</v>
      </c>
      <c r="D316" s="6">
        <v>46023</v>
      </c>
      <c r="E316" s="7">
        <v>0.26529999999999998</v>
      </c>
      <c r="F316" s="105"/>
      <c r="G316" s="8">
        <v>0.26529999999999998</v>
      </c>
      <c r="H316" s="4" t="s">
        <v>628</v>
      </c>
      <c r="I316" s="5" t="s">
        <v>12</v>
      </c>
      <c r="J316" s="15"/>
      <c r="K316" s="15"/>
    </row>
    <row r="317" spans="1:11" x14ac:dyDescent="0.25">
      <c r="A317" s="4" t="s">
        <v>623</v>
      </c>
      <c r="B317" s="5" t="s">
        <v>200</v>
      </c>
      <c r="C317" s="5">
        <v>61836</v>
      </c>
      <c r="D317" s="6">
        <v>46023</v>
      </c>
      <c r="E317" s="7">
        <v>0.36030000000000001</v>
      </c>
      <c r="F317" s="105"/>
      <c r="G317" s="8">
        <v>0.35289999999999999</v>
      </c>
      <c r="H317" s="4" t="s">
        <v>629</v>
      </c>
      <c r="I317" s="5" t="s">
        <v>12</v>
      </c>
      <c r="J317" s="15"/>
      <c r="K317" s="15"/>
    </row>
    <row r="318" spans="1:11" x14ac:dyDescent="0.25">
      <c r="A318" s="4" t="s">
        <v>623</v>
      </c>
      <c r="B318" s="5" t="s">
        <v>487</v>
      </c>
      <c r="C318" s="5">
        <v>23371</v>
      </c>
      <c r="D318" s="6">
        <v>46023</v>
      </c>
      <c r="E318" s="7">
        <v>8.2400000000000001E-2</v>
      </c>
      <c r="F318" s="105"/>
      <c r="G318" s="8">
        <v>8.2400000000000001E-2</v>
      </c>
      <c r="H318" s="4" t="s">
        <v>630</v>
      </c>
      <c r="I318" s="5" t="s">
        <v>12</v>
      </c>
      <c r="J318" s="15"/>
      <c r="K318" s="15"/>
    </row>
    <row r="319" spans="1:11" x14ac:dyDescent="0.25">
      <c r="A319" s="4" t="s">
        <v>623</v>
      </c>
      <c r="B319" s="5" t="s">
        <v>631</v>
      </c>
      <c r="C319" s="5">
        <v>80473</v>
      </c>
      <c r="D319" s="6">
        <v>46023</v>
      </c>
      <c r="E319" s="7">
        <v>0.14169999999999999</v>
      </c>
      <c r="F319" s="105"/>
      <c r="G319" s="8">
        <v>0.13719999999999999</v>
      </c>
      <c r="H319" s="4" t="s">
        <v>632</v>
      </c>
      <c r="I319" s="5" t="s">
        <v>12</v>
      </c>
      <c r="J319" s="15"/>
      <c r="K319" s="15"/>
    </row>
    <row r="320" spans="1:11" x14ac:dyDescent="0.25">
      <c r="A320" s="4" t="s">
        <v>623</v>
      </c>
      <c r="B320" s="5" t="s">
        <v>633</v>
      </c>
      <c r="C320" s="5">
        <v>38498</v>
      </c>
      <c r="D320" s="6">
        <v>46023</v>
      </c>
      <c r="E320" s="7">
        <v>0.16589999999999999</v>
      </c>
      <c r="F320" s="105"/>
      <c r="G320" s="8">
        <v>0.1681</v>
      </c>
      <c r="H320" s="4" t="s">
        <v>634</v>
      </c>
      <c r="I320" s="5" t="s">
        <v>12</v>
      </c>
      <c r="J320" s="15"/>
      <c r="K320" s="15"/>
    </row>
    <row r="321" spans="1:11" x14ac:dyDescent="0.25">
      <c r="A321" s="4" t="s">
        <v>623</v>
      </c>
      <c r="B321" s="5" t="s">
        <v>635</v>
      </c>
      <c r="C321" s="5">
        <v>84481</v>
      </c>
      <c r="D321" s="6">
        <v>46023</v>
      </c>
      <c r="E321" s="7">
        <v>0.22359999999999999</v>
      </c>
      <c r="F321" s="105"/>
      <c r="G321" s="8">
        <v>0.31719999999999998</v>
      </c>
      <c r="H321" s="4" t="s">
        <v>636</v>
      </c>
      <c r="I321" s="5" t="s">
        <v>12</v>
      </c>
      <c r="J321" s="15"/>
      <c r="K321" s="15"/>
    </row>
    <row r="322" spans="1:11" x14ac:dyDescent="0.25">
      <c r="A322" s="4" t="s">
        <v>623</v>
      </c>
      <c r="B322" s="5" t="s">
        <v>637</v>
      </c>
      <c r="C322" s="5">
        <v>49831</v>
      </c>
      <c r="D322" s="6">
        <v>46023</v>
      </c>
      <c r="E322" s="7">
        <v>0.1898</v>
      </c>
      <c r="F322" s="105"/>
      <c r="G322" s="8">
        <v>0.19750000000000001</v>
      </c>
      <c r="H322" s="4" t="s">
        <v>638</v>
      </c>
      <c r="I322" s="5" t="s">
        <v>12</v>
      </c>
      <c r="J322" s="15"/>
      <c r="K322" s="15"/>
    </row>
    <row r="323" spans="1:11" x14ac:dyDescent="0.25">
      <c r="A323" s="4" t="s">
        <v>623</v>
      </c>
      <c r="B323" s="5" t="s">
        <v>639</v>
      </c>
      <c r="C323" s="5">
        <v>45834</v>
      </c>
      <c r="D323" s="6">
        <v>46023</v>
      </c>
      <c r="E323" s="7">
        <v>0.1057</v>
      </c>
      <c r="F323" s="105"/>
      <c r="G323" s="8">
        <v>0.1057</v>
      </c>
      <c r="H323" s="4" t="s">
        <v>640</v>
      </c>
      <c r="I323" s="5" t="s">
        <v>12</v>
      </c>
      <c r="J323" s="15"/>
      <c r="K323" s="15"/>
    </row>
    <row r="324" spans="1:11" x14ac:dyDescent="0.25">
      <c r="A324" s="4" t="s">
        <v>623</v>
      </c>
      <c r="B324" s="5" t="s">
        <v>493</v>
      </c>
      <c r="C324" s="5">
        <v>71281</v>
      </c>
      <c r="D324" s="6">
        <v>46023</v>
      </c>
      <c r="E324" s="7">
        <v>0.23169999999999999</v>
      </c>
      <c r="F324" s="105"/>
      <c r="G324" s="8">
        <v>0.23169999999999999</v>
      </c>
      <c r="H324" s="4" t="s">
        <v>641</v>
      </c>
      <c r="I324" s="5" t="s">
        <v>12</v>
      </c>
      <c r="J324" s="15"/>
      <c r="K324" s="15"/>
    </row>
    <row r="325" spans="1:11" x14ac:dyDescent="0.25">
      <c r="A325" s="4" t="s">
        <v>623</v>
      </c>
      <c r="B325" s="5" t="s">
        <v>642</v>
      </c>
      <c r="C325" s="5">
        <v>87718</v>
      </c>
      <c r="D325" s="6">
        <v>46023</v>
      </c>
      <c r="E325" s="7">
        <v>9.9400000000000002E-2</v>
      </c>
      <c r="F325" s="105"/>
      <c r="G325" s="8">
        <v>9.9400000000000002E-2</v>
      </c>
      <c r="H325" s="4" t="s">
        <v>643</v>
      </c>
      <c r="I325" s="5" t="s">
        <v>12</v>
      </c>
      <c r="J325" s="15"/>
      <c r="K325" s="15"/>
    </row>
    <row r="326" spans="1:11" ht="15.75" thickBot="1" x14ac:dyDescent="0.3">
      <c r="A326" s="9" t="s">
        <v>623</v>
      </c>
      <c r="B326" s="10" t="s">
        <v>644</v>
      </c>
      <c r="C326" s="10">
        <v>62650</v>
      </c>
      <c r="D326" s="11">
        <v>46023</v>
      </c>
      <c r="E326" s="12">
        <v>0.33950000000000002</v>
      </c>
      <c r="F326" s="106"/>
      <c r="G326" s="13">
        <v>0.38800000000000001</v>
      </c>
      <c r="H326" s="9" t="s">
        <v>645</v>
      </c>
      <c r="I326" s="10" t="s">
        <v>12</v>
      </c>
      <c r="J326" s="15"/>
      <c r="K326" s="15"/>
    </row>
    <row r="327" spans="1:11" x14ac:dyDescent="0.25">
      <c r="A327" s="4" t="s">
        <v>646</v>
      </c>
      <c r="B327" s="5" t="s">
        <v>647</v>
      </c>
      <c r="C327" s="5">
        <v>50328</v>
      </c>
      <c r="D327" s="6">
        <v>46023</v>
      </c>
      <c r="E327" s="7">
        <v>7.0999999999999994E-2</v>
      </c>
      <c r="F327" s="107">
        <v>0.1065</v>
      </c>
      <c r="G327" s="8">
        <v>7.5800000000000006E-2</v>
      </c>
      <c r="H327" s="4" t="s">
        <v>648</v>
      </c>
      <c r="I327" s="5" t="s">
        <v>12</v>
      </c>
      <c r="J327" s="15"/>
      <c r="K327" s="15"/>
    </row>
    <row r="328" spans="1:11" x14ac:dyDescent="0.25">
      <c r="A328" s="4" t="s">
        <v>646</v>
      </c>
      <c r="B328" s="5" t="s">
        <v>649</v>
      </c>
      <c r="C328" s="5">
        <v>31274</v>
      </c>
      <c r="D328" s="6">
        <v>46023</v>
      </c>
      <c r="E328" s="7">
        <v>0.16969999999999999</v>
      </c>
      <c r="F328" s="105"/>
      <c r="G328" s="8">
        <v>0.13400000000000001</v>
      </c>
      <c r="H328" s="4" t="s">
        <v>650</v>
      </c>
      <c r="I328" s="5" t="s">
        <v>12</v>
      </c>
      <c r="J328" s="15"/>
      <c r="K328" s="15"/>
    </row>
    <row r="329" spans="1:11" ht="15.75" thickBot="1" x14ac:dyDescent="0.3">
      <c r="A329" s="9" t="s">
        <v>646</v>
      </c>
      <c r="B329" s="10" t="s">
        <v>468</v>
      </c>
      <c r="C329" s="10">
        <v>72982</v>
      </c>
      <c r="D329" s="11">
        <v>46023</v>
      </c>
      <c r="E329" s="12">
        <v>7.8799999999999995E-2</v>
      </c>
      <c r="F329" s="106"/>
      <c r="G329" s="13">
        <v>7.8799999999999995E-2</v>
      </c>
      <c r="H329" s="9" t="s">
        <v>651</v>
      </c>
      <c r="I329" s="10" t="s">
        <v>12</v>
      </c>
      <c r="J329" s="15"/>
      <c r="K329" s="15"/>
    </row>
    <row r="330" spans="1:11" x14ac:dyDescent="0.25">
      <c r="A330" s="4" t="s">
        <v>652</v>
      </c>
      <c r="B330" s="5" t="s">
        <v>653</v>
      </c>
      <c r="C330" s="5">
        <v>86584</v>
      </c>
      <c r="D330" s="6">
        <v>46023</v>
      </c>
      <c r="E330" s="7">
        <v>0.12559999999999999</v>
      </c>
      <c r="F330" s="107">
        <v>0.16089999999999999</v>
      </c>
      <c r="G330" s="8">
        <v>0.13200000000000001</v>
      </c>
      <c r="H330" s="4" t="s">
        <v>654</v>
      </c>
      <c r="I330" s="5" t="s">
        <v>12</v>
      </c>
      <c r="J330" s="15"/>
      <c r="K330" s="15"/>
    </row>
    <row r="331" spans="1:11" x14ac:dyDescent="0.25">
      <c r="A331" s="4" t="s">
        <v>652</v>
      </c>
      <c r="B331" s="5" t="s">
        <v>655</v>
      </c>
      <c r="C331" s="5">
        <v>87416</v>
      </c>
      <c r="D331" s="6">
        <v>46023</v>
      </c>
      <c r="E331" s="7">
        <v>0.1333</v>
      </c>
      <c r="F331" s="105"/>
      <c r="G331" s="8">
        <v>0.158</v>
      </c>
      <c r="H331" s="4" t="s">
        <v>656</v>
      </c>
      <c r="I331" s="5" t="s">
        <v>12</v>
      </c>
      <c r="J331" s="15"/>
      <c r="K331" s="15"/>
    </row>
    <row r="332" spans="1:11" x14ac:dyDescent="0.25">
      <c r="A332" s="4" t="s">
        <v>652</v>
      </c>
      <c r="B332" s="5" t="s">
        <v>657</v>
      </c>
      <c r="C332" s="5">
        <v>79475</v>
      </c>
      <c r="D332" s="6">
        <v>46023</v>
      </c>
      <c r="E332" s="7">
        <v>0.30790000000000001</v>
      </c>
      <c r="F332" s="105"/>
      <c r="G332" s="8">
        <v>0.33079999999999998</v>
      </c>
      <c r="H332" s="4" t="s">
        <v>658</v>
      </c>
      <c r="I332" s="5" t="s">
        <v>12</v>
      </c>
      <c r="J332" s="15"/>
      <c r="K332" s="15"/>
    </row>
    <row r="333" spans="1:11" x14ac:dyDescent="0.25">
      <c r="A333" s="4" t="s">
        <v>652</v>
      </c>
      <c r="B333" s="5" t="s">
        <v>659</v>
      </c>
      <c r="C333" s="5">
        <v>38345</v>
      </c>
      <c r="D333" s="6">
        <v>46023</v>
      </c>
      <c r="E333" s="7">
        <v>0.13139999999999999</v>
      </c>
      <c r="F333" s="105"/>
      <c r="G333" s="8">
        <v>0.14230000000000001</v>
      </c>
      <c r="H333" s="4" t="s">
        <v>660</v>
      </c>
      <c r="I333" s="5" t="s">
        <v>12</v>
      </c>
      <c r="J333" s="15"/>
      <c r="K333" s="15"/>
    </row>
    <row r="334" spans="1:11" x14ac:dyDescent="0.25">
      <c r="A334" s="4" t="s">
        <v>652</v>
      </c>
      <c r="B334" s="5" t="s">
        <v>661</v>
      </c>
      <c r="C334" s="5">
        <v>94529</v>
      </c>
      <c r="D334" s="6">
        <v>46023</v>
      </c>
      <c r="E334" s="7">
        <v>6.9099999999999995E-2</v>
      </c>
      <c r="F334" s="105"/>
      <c r="G334" s="8">
        <v>7.2700000000000001E-2</v>
      </c>
      <c r="H334" s="4" t="s">
        <v>662</v>
      </c>
      <c r="I334" s="5" t="s">
        <v>12</v>
      </c>
      <c r="J334" s="15"/>
      <c r="K334" s="15"/>
    </row>
    <row r="335" spans="1:11" x14ac:dyDescent="0.25">
      <c r="A335" s="4" t="s">
        <v>652</v>
      </c>
      <c r="B335" s="5" t="s">
        <v>297</v>
      </c>
      <c r="C335" s="5">
        <v>20173</v>
      </c>
      <c r="D335" s="6">
        <v>46023</v>
      </c>
      <c r="E335" s="7">
        <v>0.1174</v>
      </c>
      <c r="F335" s="105"/>
      <c r="G335" s="8">
        <v>0.12189999999999999</v>
      </c>
      <c r="H335" s="4" t="s">
        <v>663</v>
      </c>
      <c r="I335" s="5" t="s">
        <v>12</v>
      </c>
      <c r="J335" s="15"/>
      <c r="K335" s="15"/>
    </row>
    <row r="336" spans="1:11" x14ac:dyDescent="0.25">
      <c r="A336" s="4" t="s">
        <v>652</v>
      </c>
      <c r="B336" s="5" t="s">
        <v>664</v>
      </c>
      <c r="C336" s="5">
        <v>57845</v>
      </c>
      <c r="D336" s="6">
        <v>46023</v>
      </c>
      <c r="E336" s="7">
        <v>0.12559999999999999</v>
      </c>
      <c r="F336" s="105"/>
      <c r="G336" s="8">
        <v>0.1356</v>
      </c>
      <c r="H336" s="4" t="s">
        <v>665</v>
      </c>
      <c r="I336" s="5" t="s">
        <v>12</v>
      </c>
      <c r="J336" s="15"/>
      <c r="K336" s="15"/>
    </row>
    <row r="337" spans="1:11" x14ac:dyDescent="0.25">
      <c r="A337" s="4" t="s">
        <v>652</v>
      </c>
      <c r="B337" s="5" t="s">
        <v>186</v>
      </c>
      <c r="C337" s="5">
        <v>58326</v>
      </c>
      <c r="D337" s="6">
        <v>46023</v>
      </c>
      <c r="E337" s="7">
        <v>6.5500000000000003E-2</v>
      </c>
      <c r="F337" s="105"/>
      <c r="G337" s="8">
        <v>7.1900000000000006E-2</v>
      </c>
      <c r="H337" s="4" t="s">
        <v>666</v>
      </c>
      <c r="I337" s="5" t="s">
        <v>12</v>
      </c>
      <c r="J337" s="15"/>
      <c r="K337" s="15"/>
    </row>
    <row r="338" spans="1:11" x14ac:dyDescent="0.25">
      <c r="A338" s="4" t="s">
        <v>652</v>
      </c>
      <c r="B338" s="5" t="s">
        <v>667</v>
      </c>
      <c r="C338" s="5">
        <v>52697</v>
      </c>
      <c r="D338" s="6">
        <v>46023</v>
      </c>
      <c r="E338" s="7">
        <v>0.1603</v>
      </c>
      <c r="F338" s="105"/>
      <c r="G338" s="8">
        <v>0.1603</v>
      </c>
      <c r="H338" s="4" t="s">
        <v>668</v>
      </c>
      <c r="I338" s="5" t="s">
        <v>12</v>
      </c>
      <c r="J338" s="15"/>
      <c r="K338" s="15"/>
    </row>
    <row r="339" spans="1:11" x14ac:dyDescent="0.25">
      <c r="A339" s="4" t="s">
        <v>652</v>
      </c>
      <c r="B339" s="5" t="s">
        <v>669</v>
      </c>
      <c r="C339" s="5">
        <v>81413</v>
      </c>
      <c r="D339" s="6">
        <v>46023</v>
      </c>
      <c r="E339" s="7">
        <v>9.8299999999999998E-2</v>
      </c>
      <c r="F339" s="105"/>
      <c r="G339" s="8">
        <v>9.8299999999999998E-2</v>
      </c>
      <c r="H339" s="4" t="s">
        <v>670</v>
      </c>
      <c r="I339" s="5" t="s">
        <v>12</v>
      </c>
      <c r="J339" s="15"/>
      <c r="K339" s="15"/>
    </row>
    <row r="340" spans="1:11" x14ac:dyDescent="0.25">
      <c r="A340" s="4" t="s">
        <v>652</v>
      </c>
      <c r="B340" s="5" t="s">
        <v>671</v>
      </c>
      <c r="C340" s="5">
        <v>37833</v>
      </c>
      <c r="D340" s="6">
        <v>46023</v>
      </c>
      <c r="E340" s="7">
        <v>0.16880000000000001</v>
      </c>
      <c r="F340" s="105"/>
      <c r="G340" s="8">
        <v>0.17419999999999999</v>
      </c>
      <c r="H340" s="4" t="s">
        <v>672</v>
      </c>
      <c r="I340" s="5" t="s">
        <v>12</v>
      </c>
      <c r="J340" s="15"/>
      <c r="K340" s="15"/>
    </row>
    <row r="341" spans="1:11" x14ac:dyDescent="0.25">
      <c r="A341" s="4" t="s">
        <v>652</v>
      </c>
      <c r="B341" s="5" t="s">
        <v>673</v>
      </c>
      <c r="C341" s="5">
        <v>38166</v>
      </c>
      <c r="D341" s="6">
        <v>46023</v>
      </c>
      <c r="E341" s="7">
        <v>0.2429</v>
      </c>
      <c r="F341" s="105"/>
      <c r="G341" s="8">
        <v>0.2339</v>
      </c>
      <c r="H341" s="4" t="s">
        <v>674</v>
      </c>
      <c r="I341" s="5" t="s">
        <v>12</v>
      </c>
      <c r="J341" s="15"/>
      <c r="K341" s="15"/>
    </row>
    <row r="342" spans="1:11" ht="15.75" thickBot="1" x14ac:dyDescent="0.3">
      <c r="A342" s="9" t="s">
        <v>652</v>
      </c>
      <c r="B342" s="10" t="s">
        <v>675</v>
      </c>
      <c r="C342" s="10">
        <v>80180</v>
      </c>
      <c r="D342" s="11">
        <v>46023</v>
      </c>
      <c r="E342" s="12">
        <v>0.34510000000000002</v>
      </c>
      <c r="F342" s="112"/>
      <c r="G342" s="13">
        <v>0.34899999999999998</v>
      </c>
      <c r="H342" s="9" t="s">
        <v>676</v>
      </c>
      <c r="I342" s="10" t="s">
        <v>12</v>
      </c>
      <c r="J342" s="19"/>
      <c r="K342" s="19"/>
    </row>
    <row r="343" spans="1:11" x14ac:dyDescent="0.25">
      <c r="A343" s="4" t="s">
        <v>677</v>
      </c>
      <c r="B343" s="5" t="s">
        <v>678</v>
      </c>
      <c r="C343" s="5">
        <v>11269</v>
      </c>
      <c r="D343" s="6">
        <v>46023</v>
      </c>
      <c r="E343" s="7">
        <v>0.20680000000000001</v>
      </c>
      <c r="F343" s="113">
        <v>0.27260000000000001</v>
      </c>
      <c r="G343" s="8">
        <v>0.25390000000000001</v>
      </c>
      <c r="H343" s="4" t="s">
        <v>679</v>
      </c>
      <c r="I343" s="5" t="s">
        <v>12</v>
      </c>
      <c r="J343" s="15"/>
      <c r="K343" s="15"/>
    </row>
    <row r="344" spans="1:11" x14ac:dyDescent="0.25">
      <c r="A344" s="4" t="s">
        <v>677</v>
      </c>
      <c r="B344" s="5" t="s">
        <v>171</v>
      </c>
      <c r="C344" s="18">
        <v>38576</v>
      </c>
      <c r="D344" s="6">
        <v>46023</v>
      </c>
      <c r="E344" s="7">
        <v>0.3196</v>
      </c>
      <c r="F344" s="105"/>
      <c r="G344" s="57" t="s">
        <v>680</v>
      </c>
      <c r="H344" s="4" t="s">
        <v>681</v>
      </c>
      <c r="I344" s="5" t="s">
        <v>12</v>
      </c>
      <c r="J344" s="15"/>
      <c r="K344" s="15"/>
    </row>
    <row r="345" spans="1:11" ht="15.75" thickBot="1" x14ac:dyDescent="0.3">
      <c r="A345" s="58" t="s">
        <v>677</v>
      </c>
      <c r="B345" s="16" t="s">
        <v>15</v>
      </c>
      <c r="C345" s="10">
        <v>49714</v>
      </c>
      <c r="D345" s="59">
        <v>46023</v>
      </c>
      <c r="E345" s="60">
        <v>0.2913</v>
      </c>
      <c r="F345" s="105"/>
      <c r="G345" s="61">
        <v>0.30070000000000002</v>
      </c>
      <c r="H345" s="58" t="s">
        <v>682</v>
      </c>
      <c r="I345" s="16" t="s">
        <v>12</v>
      </c>
      <c r="J345" s="15"/>
      <c r="K345" s="15"/>
    </row>
  </sheetData>
  <mergeCells count="51">
    <mergeCell ref="F2:F4"/>
    <mergeCell ref="F5:F6"/>
    <mergeCell ref="F7:F13"/>
    <mergeCell ref="F14:F19"/>
    <mergeCell ref="F20:F31"/>
    <mergeCell ref="F100:F105"/>
    <mergeCell ref="F32:F37"/>
    <mergeCell ref="F38:F41"/>
    <mergeCell ref="F42:F44"/>
    <mergeCell ref="F45:F47"/>
    <mergeCell ref="F48:F61"/>
    <mergeCell ref="F62:F71"/>
    <mergeCell ref="F72:F73"/>
    <mergeCell ref="F74:F81"/>
    <mergeCell ref="F82:F88"/>
    <mergeCell ref="F89:F94"/>
    <mergeCell ref="F95:F99"/>
    <mergeCell ref="F171:F180"/>
    <mergeCell ref="F106:F108"/>
    <mergeCell ref="F109:F112"/>
    <mergeCell ref="F113:F117"/>
    <mergeCell ref="F118:F122"/>
    <mergeCell ref="F124:F131"/>
    <mergeCell ref="F132:F142"/>
    <mergeCell ref="F143:F148"/>
    <mergeCell ref="F149:F154"/>
    <mergeCell ref="F155:F162"/>
    <mergeCell ref="F164:F166"/>
    <mergeCell ref="F167:F170"/>
    <mergeCell ref="F263:F270"/>
    <mergeCell ref="F181:F185"/>
    <mergeCell ref="F186:F191"/>
    <mergeCell ref="F192:F195"/>
    <mergeCell ref="F196:F209"/>
    <mergeCell ref="F210:F216"/>
    <mergeCell ref="F217:F219"/>
    <mergeCell ref="F220:F232"/>
    <mergeCell ref="F233:F239"/>
    <mergeCell ref="F240:F245"/>
    <mergeCell ref="F246:F260"/>
    <mergeCell ref="F261:F262"/>
    <mergeCell ref="F314:F326"/>
    <mergeCell ref="F327:F329"/>
    <mergeCell ref="F330:F342"/>
    <mergeCell ref="F343:F345"/>
    <mergeCell ref="F271:F273"/>
    <mergeCell ref="F274:F279"/>
    <mergeCell ref="F280:F296"/>
    <mergeCell ref="F297:F302"/>
    <mergeCell ref="F303:F304"/>
    <mergeCell ref="F305:F313"/>
  </mergeCells>
  <hyperlinks>
    <hyperlink ref="B20" r:id="rId1" display="https://ratereview.healthcare.gov/" xr:uid="{63517C21-81C3-44B2-BEA4-05A5257D6E20}"/>
    <hyperlink ref="B21" r:id="rId2" display="https://ratereview.healthcare.gov/" xr:uid="{3E07888D-6914-405F-B82E-5ADA9B7426C8}"/>
    <hyperlink ref="B22" r:id="rId3" display="https://ratereview.healthcare.gov/" xr:uid="{F4146307-19BA-4A77-8FD4-1C93D4452BFE}"/>
    <hyperlink ref="B23" r:id="rId4" display="https://ratereview.healthcare.gov/" xr:uid="{09A6760C-1519-49BC-B1B9-7F48C8D15352}"/>
    <hyperlink ref="B24" r:id="rId5" display="https://ratereview.healthcare.gov/" xr:uid="{9C331678-B936-4590-95C0-6E30CB89220D}"/>
    <hyperlink ref="B25" r:id="rId6" display="https://ratereview.healthcare.gov/" xr:uid="{88A3E2E3-D975-4C6E-B0F9-435D05CB62F8}"/>
    <hyperlink ref="B27" r:id="rId7" display="https://ratereview.healthcare.gov/" xr:uid="{023ECEC3-1661-4AF9-9FBA-C7734D048365}"/>
    <hyperlink ref="B28" r:id="rId8" display="https://ratereview.healthcare.gov/" xr:uid="{5B7F3DC0-C15B-4AC1-8468-85A1588C7D9D}"/>
    <hyperlink ref="B29" r:id="rId9" display="https://ratereview.healthcare.gov/" xr:uid="{35951E16-70E9-4BBA-B881-72F71556A493}"/>
    <hyperlink ref="B30" r:id="rId10" display="https://ratereview.healthcare.gov/" xr:uid="{C2C1507D-0013-4661-9208-A1109D15AB48}"/>
    <hyperlink ref="B31" r:id="rId11" display="https://ratereview.healthcare.gov/" xr:uid="{FE9B97C3-1912-4AD3-978C-193ACDA6C98F}"/>
    <hyperlink ref="B32" r:id="rId12" display="https://ratereview.healthcare.gov/" xr:uid="{4DB8BD89-4473-40C8-AEB2-4C0E3A75A054}"/>
    <hyperlink ref="H32" r:id="rId13" display="https://ratereview.healthcare.gov/" xr:uid="{B8D61668-2634-4A2A-B784-02AB068E2094}"/>
    <hyperlink ref="B33" r:id="rId14" display="https://ratereview.healthcare.gov/" xr:uid="{4CFB899C-B52B-48CE-A279-A78274E2F4C8}"/>
    <hyperlink ref="H33" r:id="rId15" display="https://ratereview.healthcare.gov/" xr:uid="{DAB5772C-9308-492F-B84A-1474CA319640}"/>
    <hyperlink ref="B34" r:id="rId16" display="https://ratereview.healthcare.gov/" xr:uid="{EC8182B8-0D69-4E02-AB76-7D788690906F}"/>
    <hyperlink ref="B35" r:id="rId17" display="https://ratereview.healthcare.gov/" xr:uid="{192DEAB3-8D58-472B-B3CC-C8459117C397}"/>
    <hyperlink ref="B36" r:id="rId18" display="https://ratereview.healthcare.gov/" xr:uid="{AD9E2DF9-CBBE-44F9-B5EF-369E3A9E5D44}"/>
    <hyperlink ref="B37" r:id="rId19" display="https://ratereview.healthcare.gov/" xr:uid="{9FF8F092-8C11-4F78-B010-9C15A63E2DF3}"/>
    <hyperlink ref="H38" r:id="rId20" display="https://ratereview.healthcare.gov/" xr:uid="{8BA7B44B-CD4C-4637-9D8C-5D963F293274}"/>
    <hyperlink ref="H39" r:id="rId21" display="https://ratereview.healthcare.gov/" xr:uid="{76D8D540-5E8C-4EDB-8F04-4385696E3C0A}"/>
    <hyperlink ref="H40" r:id="rId22" display="https://ratereview.healthcare.gov/" xr:uid="{8C6CE34A-DF43-4CAF-A63D-E98720A3982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C61E2-0458-46A9-AC29-689877904792}">
  <sheetPr codeName="Sheet3"/>
  <dimension ref="A1:K321"/>
  <sheetViews>
    <sheetView workbookViewId="0">
      <pane ySplit="1" topLeftCell="A2" activePane="bottomLeft" state="frozen"/>
      <selection pane="bottomLeft" activeCell="F1" sqref="F1"/>
    </sheetView>
  </sheetViews>
  <sheetFormatPr defaultRowHeight="15" customHeight="1" x14ac:dyDescent="0.25"/>
  <cols>
    <col min="1" max="1" width="5.85546875" bestFit="1" customWidth="1"/>
    <col min="2" max="2" width="54" bestFit="1" customWidth="1"/>
    <col min="3" max="3" width="14" customWidth="1"/>
    <col min="4" max="4" width="13.7109375" bestFit="1" customWidth="1"/>
    <col min="5" max="5" width="22.7109375" bestFit="1" customWidth="1"/>
    <col min="6" max="6" width="31.140625" style="64" bestFit="1" customWidth="1"/>
    <col min="7" max="7" width="42.42578125" style="64" bestFit="1" customWidth="1"/>
    <col min="8" max="8" width="17.42578125" bestFit="1" customWidth="1"/>
    <col min="9" max="9" width="20.7109375" bestFit="1" customWidth="1"/>
    <col min="10" max="10" width="9.140625" bestFit="1" customWidth="1"/>
    <col min="11" max="11" width="11.85546875" bestFit="1" customWidth="1"/>
  </cols>
  <sheetData>
    <row r="1" spans="1:11" x14ac:dyDescent="0.25">
      <c r="A1" s="65" t="s">
        <v>0</v>
      </c>
      <c r="B1" s="65" t="s">
        <v>1</v>
      </c>
      <c r="C1" s="65" t="s">
        <v>2</v>
      </c>
      <c r="D1" s="65" t="s">
        <v>3</v>
      </c>
      <c r="E1" s="67" t="s">
        <v>4</v>
      </c>
      <c r="F1" s="67" t="s">
        <v>5</v>
      </c>
      <c r="G1" s="67" t="s">
        <v>683</v>
      </c>
      <c r="H1" s="66" t="s">
        <v>6</v>
      </c>
      <c r="I1" s="65" t="s">
        <v>7</v>
      </c>
      <c r="J1" s="65" t="s">
        <v>8</v>
      </c>
      <c r="K1" s="65" t="s">
        <v>684</v>
      </c>
    </row>
    <row r="2" spans="1:11" x14ac:dyDescent="0.25">
      <c r="A2" s="86" t="s">
        <v>9</v>
      </c>
      <c r="B2" s="81" t="s">
        <v>685</v>
      </c>
      <c r="D2" s="83">
        <v>46388</v>
      </c>
      <c r="E2" s="77">
        <v>0.20130000000000001</v>
      </c>
      <c r="F2" s="103">
        <f>AVERAGE(E2:E5)</f>
        <v>0.23625000000000002</v>
      </c>
      <c r="G2"/>
    </row>
    <row r="3" spans="1:11" x14ac:dyDescent="0.25">
      <c r="A3" s="86" t="s">
        <v>9</v>
      </c>
      <c r="B3" s="81" t="s">
        <v>686</v>
      </c>
      <c r="D3" s="83">
        <v>46388</v>
      </c>
      <c r="E3" s="77">
        <v>0.1159</v>
      </c>
      <c r="F3" s="103"/>
      <c r="G3"/>
    </row>
    <row r="4" spans="1:11" x14ac:dyDescent="0.25">
      <c r="A4" s="86" t="s">
        <v>9</v>
      </c>
      <c r="B4" s="81" t="s">
        <v>687</v>
      </c>
      <c r="D4" s="83">
        <v>46388</v>
      </c>
      <c r="E4" s="77">
        <v>0.35139999999999999</v>
      </c>
      <c r="F4" s="103"/>
      <c r="G4"/>
    </row>
    <row r="5" spans="1:11" x14ac:dyDescent="0.25">
      <c r="A5" s="87" t="s">
        <v>9</v>
      </c>
      <c r="B5" s="82" t="s">
        <v>688</v>
      </c>
      <c r="C5" s="63"/>
      <c r="D5" s="84">
        <v>46388</v>
      </c>
      <c r="E5" s="79">
        <v>0.27639999999999998</v>
      </c>
      <c r="F5" s="104"/>
      <c r="G5" s="63"/>
      <c r="H5" s="63"/>
      <c r="I5" s="63"/>
      <c r="J5" s="63"/>
      <c r="K5" s="63"/>
    </row>
    <row r="6" spans="1:11" ht="14.65" customHeight="1" x14ac:dyDescent="0.25">
      <c r="A6" s="86" t="s">
        <v>17</v>
      </c>
      <c r="B6" s="81" t="s">
        <v>689</v>
      </c>
      <c r="D6" s="83">
        <v>46388</v>
      </c>
      <c r="E6" s="77">
        <v>9.2999999999999999E-2</v>
      </c>
      <c r="F6" s="103">
        <f>AVERAGE(E6:E7)</f>
        <v>0.17985000000000001</v>
      </c>
      <c r="G6"/>
    </row>
    <row r="7" spans="1:11" x14ac:dyDescent="0.25">
      <c r="A7" s="87" t="s">
        <v>17</v>
      </c>
      <c r="B7" s="82" t="s">
        <v>690</v>
      </c>
      <c r="C7" s="63"/>
      <c r="D7" s="84">
        <v>46388</v>
      </c>
      <c r="E7" s="79">
        <v>0.26669999999999999</v>
      </c>
      <c r="F7" s="104"/>
      <c r="G7" s="63"/>
      <c r="H7" s="63"/>
      <c r="I7" s="63"/>
      <c r="J7" s="63"/>
      <c r="K7" s="63"/>
    </row>
    <row r="8" spans="1:11" x14ac:dyDescent="0.25">
      <c r="A8" s="98" t="s">
        <v>37</v>
      </c>
      <c r="B8" s="81" t="s">
        <v>691</v>
      </c>
      <c r="D8" s="83">
        <v>46388</v>
      </c>
      <c r="E8" s="77">
        <v>0.1047</v>
      </c>
      <c r="F8" s="103">
        <f>AVERAGE(E8:E11)</f>
        <v>9.1275000000000009E-2</v>
      </c>
      <c r="G8"/>
    </row>
    <row r="9" spans="1:11" x14ac:dyDescent="0.25">
      <c r="A9" s="98" t="s">
        <v>37</v>
      </c>
      <c r="B9" s="81" t="s">
        <v>692</v>
      </c>
      <c r="D9" s="83">
        <v>46388</v>
      </c>
      <c r="E9" s="77">
        <v>0.1588</v>
      </c>
      <c r="F9" s="103"/>
      <c r="G9"/>
    </row>
    <row r="10" spans="1:11" x14ac:dyDescent="0.25">
      <c r="A10" s="98" t="s">
        <v>37</v>
      </c>
      <c r="B10" s="81" t="s">
        <v>693</v>
      </c>
      <c r="D10" s="83">
        <v>46388</v>
      </c>
      <c r="E10" s="77">
        <v>3.1099999999999999E-2</v>
      </c>
      <c r="F10" s="103"/>
      <c r="G10"/>
    </row>
    <row r="11" spans="1:11" x14ac:dyDescent="0.25">
      <c r="A11" s="99" t="s">
        <v>37</v>
      </c>
      <c r="B11" s="82" t="s">
        <v>694</v>
      </c>
      <c r="C11" s="63"/>
      <c r="D11" s="84">
        <v>46388</v>
      </c>
      <c r="E11" s="79">
        <v>7.0499999999999993E-2</v>
      </c>
      <c r="F11" s="104"/>
      <c r="G11" s="63"/>
      <c r="H11" s="63"/>
      <c r="I11" s="63"/>
      <c r="J11" s="63"/>
      <c r="K11" s="63"/>
    </row>
    <row r="12" spans="1:11" x14ac:dyDescent="0.25">
      <c r="A12" s="100" t="s">
        <v>22</v>
      </c>
      <c r="B12" s="81" t="s">
        <v>695</v>
      </c>
      <c r="D12" s="83">
        <v>46388</v>
      </c>
      <c r="E12" s="77">
        <v>3.2599999999999997E-2</v>
      </c>
      <c r="F12" s="103">
        <f>AVERAGE(E12:E18)</f>
        <v>0.25424285714285716</v>
      </c>
      <c r="G12"/>
    </row>
    <row r="13" spans="1:11" x14ac:dyDescent="0.25">
      <c r="A13" s="100" t="s">
        <v>22</v>
      </c>
      <c r="B13" s="81" t="s">
        <v>696</v>
      </c>
      <c r="D13" s="83">
        <v>46388</v>
      </c>
      <c r="E13" s="77">
        <v>0.2959</v>
      </c>
      <c r="F13" s="103"/>
      <c r="G13"/>
    </row>
    <row r="14" spans="1:11" x14ac:dyDescent="0.25">
      <c r="A14" s="100" t="s">
        <v>22</v>
      </c>
      <c r="B14" s="81" t="s">
        <v>697</v>
      </c>
      <c r="D14" s="83">
        <v>46388</v>
      </c>
      <c r="E14" s="77">
        <v>0.27960000000000002</v>
      </c>
      <c r="F14" s="103"/>
      <c r="G14"/>
    </row>
    <row r="15" spans="1:11" x14ac:dyDescent="0.25">
      <c r="A15" s="100" t="s">
        <v>22</v>
      </c>
      <c r="B15" s="81" t="s">
        <v>698</v>
      </c>
      <c r="D15" s="83">
        <v>46388</v>
      </c>
      <c r="E15" s="77">
        <v>0.2455</v>
      </c>
      <c r="F15" s="103"/>
      <c r="G15"/>
    </row>
    <row r="16" spans="1:11" x14ac:dyDescent="0.25">
      <c r="A16" s="100" t="s">
        <v>22</v>
      </c>
      <c r="B16" s="81" t="s">
        <v>699</v>
      </c>
      <c r="D16" s="83">
        <v>46388</v>
      </c>
      <c r="E16" s="77">
        <v>0.30080000000000001</v>
      </c>
      <c r="F16" s="103"/>
      <c r="G16"/>
    </row>
    <row r="17" spans="1:11" x14ac:dyDescent="0.25">
      <c r="A17" s="100" t="s">
        <v>22</v>
      </c>
      <c r="B17" s="81" t="s">
        <v>700</v>
      </c>
      <c r="D17" s="83">
        <v>46388</v>
      </c>
      <c r="E17" s="77">
        <v>0.33900000000000002</v>
      </c>
      <c r="F17" s="103"/>
      <c r="G17"/>
    </row>
    <row r="18" spans="1:11" x14ac:dyDescent="0.25">
      <c r="A18" s="101" t="s">
        <v>22</v>
      </c>
      <c r="B18" s="82" t="s">
        <v>701</v>
      </c>
      <c r="C18" s="63"/>
      <c r="D18" s="84">
        <v>46388</v>
      </c>
      <c r="E18" s="79">
        <v>0.2863</v>
      </c>
      <c r="F18" s="104"/>
      <c r="G18" s="63"/>
      <c r="H18" s="63"/>
      <c r="I18" s="63"/>
      <c r="J18" s="63"/>
      <c r="K18" s="63"/>
    </row>
    <row r="19" spans="1:11" x14ac:dyDescent="0.25">
      <c r="A19" s="98" t="s">
        <v>50</v>
      </c>
      <c r="B19" s="81" t="s">
        <v>702</v>
      </c>
      <c r="C19" s="76"/>
      <c r="D19" s="83">
        <v>46388</v>
      </c>
      <c r="E19" s="77">
        <v>0.13</v>
      </c>
      <c r="F19" s="103">
        <f>AVERAGE(E19:E29)</f>
        <v>0.12081818181818184</v>
      </c>
      <c r="G19" s="103">
        <v>9.9299999999999999E-2</v>
      </c>
      <c r="H19" s="76"/>
      <c r="I19" s="76"/>
      <c r="J19" s="76"/>
      <c r="K19" s="76"/>
    </row>
    <row r="20" spans="1:11" x14ac:dyDescent="0.25">
      <c r="A20" s="98" t="s">
        <v>50</v>
      </c>
      <c r="B20" s="81" t="s">
        <v>703</v>
      </c>
      <c r="C20" s="76"/>
      <c r="D20" s="83">
        <v>46388</v>
      </c>
      <c r="E20" s="77">
        <v>0.125</v>
      </c>
      <c r="F20" s="103"/>
      <c r="G20" s="103"/>
      <c r="H20" s="76"/>
      <c r="I20" s="76"/>
      <c r="J20" s="76"/>
      <c r="K20" s="76"/>
    </row>
    <row r="21" spans="1:11" x14ac:dyDescent="0.25">
      <c r="A21" s="98" t="s">
        <v>50</v>
      </c>
      <c r="B21" s="81" t="s">
        <v>704</v>
      </c>
      <c r="C21" s="76"/>
      <c r="D21" s="83">
        <v>46388</v>
      </c>
      <c r="E21" s="77">
        <v>0.14599999999999999</v>
      </c>
      <c r="F21" s="103"/>
      <c r="G21" s="103"/>
      <c r="H21" s="76"/>
      <c r="I21" s="76"/>
      <c r="J21" s="76"/>
      <c r="K21" s="76"/>
    </row>
    <row r="22" spans="1:11" x14ac:dyDescent="0.25">
      <c r="A22" s="98" t="s">
        <v>50</v>
      </c>
      <c r="B22" s="81" t="s">
        <v>705</v>
      </c>
      <c r="C22" s="76"/>
      <c r="D22" s="83">
        <v>46388</v>
      </c>
      <c r="E22" s="77">
        <v>0.20399999999999999</v>
      </c>
      <c r="F22" s="103"/>
      <c r="G22" s="103"/>
      <c r="H22" s="76"/>
      <c r="I22" s="76"/>
      <c r="J22" s="76"/>
      <c r="K22" s="76"/>
    </row>
    <row r="23" spans="1:11" x14ac:dyDescent="0.25">
      <c r="A23" s="98" t="s">
        <v>50</v>
      </c>
      <c r="B23" s="81" t="s">
        <v>706</v>
      </c>
      <c r="C23" s="76"/>
      <c r="D23" s="83">
        <v>46388</v>
      </c>
      <c r="E23" s="77">
        <v>0.13200000000000001</v>
      </c>
      <c r="F23" s="103"/>
      <c r="G23" s="103"/>
      <c r="H23" s="76"/>
      <c r="I23" s="76"/>
      <c r="J23" s="76"/>
      <c r="K23" s="76"/>
    </row>
    <row r="24" spans="1:11" x14ac:dyDescent="0.25">
      <c r="A24" s="98" t="s">
        <v>50</v>
      </c>
      <c r="B24" s="81" t="s">
        <v>61</v>
      </c>
      <c r="C24" s="76"/>
      <c r="D24" s="83">
        <v>46388</v>
      </c>
      <c r="E24" s="77">
        <v>5.6000000000000001E-2</v>
      </c>
      <c r="F24" s="103"/>
      <c r="G24" s="103"/>
      <c r="H24" s="76"/>
      <c r="I24" s="76"/>
      <c r="J24" s="76"/>
      <c r="K24" s="76"/>
    </row>
    <row r="25" spans="1:11" x14ac:dyDescent="0.25">
      <c r="A25" s="98" t="s">
        <v>50</v>
      </c>
      <c r="B25" s="81" t="s">
        <v>707</v>
      </c>
      <c r="C25" s="76"/>
      <c r="D25" s="83">
        <v>46388</v>
      </c>
      <c r="E25" s="77">
        <v>6.7000000000000004E-2</v>
      </c>
      <c r="F25" s="103"/>
      <c r="G25" s="103"/>
      <c r="H25" s="76"/>
      <c r="I25" s="76"/>
      <c r="J25" s="76"/>
      <c r="K25" s="76"/>
    </row>
    <row r="26" spans="1:11" x14ac:dyDescent="0.25">
      <c r="A26" s="98" t="s">
        <v>50</v>
      </c>
      <c r="B26" s="81" t="s">
        <v>708</v>
      </c>
      <c r="C26" s="76"/>
      <c r="D26" s="83">
        <v>46388</v>
      </c>
      <c r="E26" s="77">
        <v>8.1000000000000003E-2</v>
      </c>
      <c r="F26" s="103"/>
      <c r="G26" s="103"/>
      <c r="H26" s="76"/>
      <c r="I26" s="76"/>
      <c r="J26" s="76"/>
      <c r="K26" s="76"/>
    </row>
    <row r="27" spans="1:11" x14ac:dyDescent="0.25">
      <c r="A27" s="98" t="s">
        <v>50</v>
      </c>
      <c r="B27" s="81" t="s">
        <v>709</v>
      </c>
      <c r="C27" s="76"/>
      <c r="D27" s="83">
        <v>46388</v>
      </c>
      <c r="E27" s="77">
        <v>0.16900000000000001</v>
      </c>
      <c r="F27" s="103"/>
      <c r="G27" s="103"/>
      <c r="H27" s="76"/>
      <c r="I27" s="76"/>
      <c r="J27" s="76"/>
      <c r="K27" s="76"/>
    </row>
    <row r="28" spans="1:11" x14ac:dyDescent="0.25">
      <c r="A28" s="98" t="s">
        <v>50</v>
      </c>
      <c r="B28" s="81" t="s">
        <v>69</v>
      </c>
      <c r="C28" s="76"/>
      <c r="D28" s="83">
        <v>46388</v>
      </c>
      <c r="E28" s="77">
        <v>0.123</v>
      </c>
      <c r="F28" s="103"/>
      <c r="G28" s="103"/>
      <c r="H28" s="76"/>
      <c r="I28" s="76"/>
      <c r="J28" s="76"/>
      <c r="K28" s="76"/>
    </row>
    <row r="29" spans="1:11" x14ac:dyDescent="0.25">
      <c r="A29" s="99" t="s">
        <v>50</v>
      </c>
      <c r="B29" s="82" t="s">
        <v>710</v>
      </c>
      <c r="C29" s="78"/>
      <c r="D29" s="84">
        <v>46388</v>
      </c>
      <c r="E29" s="79">
        <v>9.6000000000000002E-2</v>
      </c>
      <c r="F29" s="104"/>
      <c r="G29" s="104"/>
      <c r="H29" s="78"/>
      <c r="I29" s="78"/>
      <c r="J29" s="78"/>
      <c r="K29" s="78"/>
    </row>
    <row r="30" spans="1:11" x14ac:dyDescent="0.25">
      <c r="A30" s="86" t="s">
        <v>75</v>
      </c>
      <c r="B30" s="81" t="s">
        <v>711</v>
      </c>
      <c r="C30" s="76"/>
      <c r="D30" s="83">
        <v>46388</v>
      </c>
      <c r="E30" s="77">
        <v>0.10340000000000001</v>
      </c>
      <c r="F30" s="108">
        <f>AVERAGE(E30:E34)</f>
        <v>0.15536</v>
      </c>
      <c r="G30" s="108">
        <v>0.1336</v>
      </c>
      <c r="H30" s="76"/>
      <c r="I30" s="76"/>
      <c r="J30" s="76"/>
      <c r="K30" s="76"/>
    </row>
    <row r="31" spans="1:11" x14ac:dyDescent="0.25">
      <c r="A31" s="86" t="s">
        <v>75</v>
      </c>
      <c r="B31" s="81" t="s">
        <v>712</v>
      </c>
      <c r="C31" s="76"/>
      <c r="D31" s="83">
        <v>46388</v>
      </c>
      <c r="E31" s="77">
        <v>0.18279999999999999</v>
      </c>
      <c r="F31" s="103"/>
      <c r="G31" s="103"/>
      <c r="H31" s="76"/>
      <c r="I31" s="76"/>
      <c r="J31" s="76"/>
      <c r="K31" s="76"/>
    </row>
    <row r="32" spans="1:11" x14ac:dyDescent="0.25">
      <c r="A32" s="86" t="s">
        <v>75</v>
      </c>
      <c r="B32" s="81" t="s">
        <v>713</v>
      </c>
      <c r="C32" s="76"/>
      <c r="D32" s="83">
        <v>46388</v>
      </c>
      <c r="E32" s="77">
        <v>0.10199999999999999</v>
      </c>
      <c r="F32" s="103"/>
      <c r="G32" s="103"/>
      <c r="H32" s="76"/>
      <c r="I32" s="76"/>
      <c r="J32" s="76"/>
      <c r="K32" s="76"/>
    </row>
    <row r="33" spans="1:11" x14ac:dyDescent="0.25">
      <c r="A33" s="86" t="s">
        <v>75</v>
      </c>
      <c r="B33" s="81" t="s">
        <v>714</v>
      </c>
      <c r="C33" s="76"/>
      <c r="D33" s="83">
        <v>46388</v>
      </c>
      <c r="E33" s="77">
        <v>0.23930000000000001</v>
      </c>
      <c r="F33" s="103"/>
      <c r="G33" s="103"/>
      <c r="H33" s="76"/>
      <c r="I33" s="76"/>
      <c r="J33" s="76"/>
      <c r="K33" s="76"/>
    </row>
    <row r="34" spans="1:11" x14ac:dyDescent="0.25">
      <c r="A34" s="87" t="s">
        <v>75</v>
      </c>
      <c r="B34" s="85" t="s">
        <v>715</v>
      </c>
      <c r="C34" s="78"/>
      <c r="D34" s="84">
        <v>46388</v>
      </c>
      <c r="E34" s="79">
        <v>0.14929999999999999</v>
      </c>
      <c r="F34" s="104"/>
      <c r="G34" s="104"/>
      <c r="H34" s="78"/>
      <c r="I34" s="78"/>
      <c r="J34" s="78"/>
      <c r="K34" s="78"/>
    </row>
    <row r="35" spans="1:11" x14ac:dyDescent="0.25">
      <c r="A35" s="72" t="s">
        <v>88</v>
      </c>
      <c r="B35" s="5" t="s">
        <v>716</v>
      </c>
      <c r="D35" s="31">
        <v>46388</v>
      </c>
      <c r="E35" s="7">
        <v>0.128</v>
      </c>
      <c r="F35" s="105">
        <f>AVERAGE(E35:E37)</f>
        <v>0.11833333333333333</v>
      </c>
      <c r="G35" s="107">
        <v>0.15659999999999999</v>
      </c>
    </row>
    <row r="36" spans="1:11" x14ac:dyDescent="0.25">
      <c r="A36" s="72" t="s">
        <v>88</v>
      </c>
      <c r="B36" s="5" t="s">
        <v>717</v>
      </c>
      <c r="D36" s="31">
        <v>46388</v>
      </c>
      <c r="E36" s="7">
        <v>0.22700000000000001</v>
      </c>
      <c r="F36" s="105"/>
      <c r="G36" s="105"/>
    </row>
    <row r="37" spans="1:11" x14ac:dyDescent="0.25">
      <c r="A37" s="73" t="s">
        <v>88</v>
      </c>
      <c r="B37" s="10" t="s">
        <v>718</v>
      </c>
      <c r="C37" s="63"/>
      <c r="D37" s="40">
        <v>46388</v>
      </c>
      <c r="E37" s="12">
        <v>0</v>
      </c>
      <c r="F37" s="106"/>
      <c r="G37" s="106"/>
      <c r="H37" s="63"/>
      <c r="I37" s="63"/>
      <c r="J37" s="63"/>
      <c r="K37" s="63"/>
    </row>
    <row r="38" spans="1:11" x14ac:dyDescent="0.25">
      <c r="A38" s="69" t="s">
        <v>97</v>
      </c>
      <c r="B38" s="5" t="s">
        <v>719</v>
      </c>
      <c r="D38" s="31">
        <v>46388</v>
      </c>
      <c r="E38" s="7">
        <v>0.1353</v>
      </c>
      <c r="F38" s="107">
        <f>AVERAGE(E38:E39)</f>
        <v>0.16885</v>
      </c>
      <c r="G38" s="90"/>
    </row>
    <row r="39" spans="1:11" x14ac:dyDescent="0.25">
      <c r="A39" s="70" t="s">
        <v>97</v>
      </c>
      <c r="B39" s="10" t="s">
        <v>720</v>
      </c>
      <c r="C39" s="63"/>
      <c r="D39" s="40">
        <v>46388</v>
      </c>
      <c r="E39" s="12">
        <v>0.2024</v>
      </c>
      <c r="F39" s="106"/>
      <c r="G39" s="91"/>
      <c r="H39" s="63"/>
      <c r="I39" s="63"/>
      <c r="J39" s="63"/>
      <c r="K39" s="63"/>
    </row>
    <row r="40" spans="1:11" x14ac:dyDescent="0.25">
      <c r="A40" s="72" t="s">
        <v>103</v>
      </c>
      <c r="B40" s="5" t="s">
        <v>721</v>
      </c>
      <c r="D40" s="31">
        <v>46388</v>
      </c>
      <c r="E40" s="7">
        <v>8.5999999999999993E-2</v>
      </c>
      <c r="F40" s="105">
        <v>9.4E-2</v>
      </c>
      <c r="G40" s="105">
        <v>9.4500000000000001E-2</v>
      </c>
    </row>
    <row r="41" spans="1:11" x14ac:dyDescent="0.25">
      <c r="A41" s="72" t="s">
        <v>103</v>
      </c>
      <c r="B41" s="5" t="s">
        <v>722</v>
      </c>
      <c r="D41" s="31">
        <v>46388</v>
      </c>
      <c r="E41" s="7">
        <v>9.6000000000000002E-2</v>
      </c>
      <c r="F41" s="105"/>
      <c r="G41" s="105"/>
    </row>
    <row r="42" spans="1:11" x14ac:dyDescent="0.25">
      <c r="A42" s="73" t="s">
        <v>103</v>
      </c>
      <c r="B42" s="10" t="s">
        <v>723</v>
      </c>
      <c r="C42" s="63"/>
      <c r="D42" s="40">
        <v>46388</v>
      </c>
      <c r="E42" s="12">
        <v>0.1</v>
      </c>
      <c r="F42" s="106"/>
      <c r="G42" s="106"/>
      <c r="H42" s="63"/>
      <c r="I42" s="63"/>
      <c r="J42" s="63"/>
      <c r="K42" s="63"/>
    </row>
    <row r="43" spans="1:11" x14ac:dyDescent="0.25">
      <c r="A43" s="69" t="s">
        <v>110</v>
      </c>
      <c r="B43" s="5" t="s">
        <v>724</v>
      </c>
      <c r="D43" s="31">
        <v>46388</v>
      </c>
      <c r="E43" s="7">
        <v>7.3999999999999996E-2</v>
      </c>
      <c r="F43" s="107">
        <f>AVERAGE(E43:E55)</f>
        <v>0.15265384615384614</v>
      </c>
      <c r="G43" s="90"/>
    </row>
    <row r="44" spans="1:11" x14ac:dyDescent="0.25">
      <c r="A44" s="69" t="s">
        <v>110</v>
      </c>
      <c r="B44" s="5" t="s">
        <v>725</v>
      </c>
      <c r="D44" s="31">
        <v>46388</v>
      </c>
      <c r="E44" s="7">
        <v>0.39140000000000003</v>
      </c>
      <c r="F44" s="105"/>
      <c r="G44" s="90"/>
    </row>
    <row r="45" spans="1:11" x14ac:dyDescent="0.25">
      <c r="A45" s="69" t="s">
        <v>110</v>
      </c>
      <c r="B45" s="5" t="s">
        <v>726</v>
      </c>
      <c r="D45" s="31">
        <v>46388</v>
      </c>
      <c r="E45" s="7">
        <v>9.7900000000000001E-2</v>
      </c>
      <c r="F45" s="105"/>
      <c r="G45" s="90"/>
    </row>
    <row r="46" spans="1:11" x14ac:dyDescent="0.25">
      <c r="A46" s="69" t="s">
        <v>110</v>
      </c>
      <c r="B46" s="5" t="s">
        <v>727</v>
      </c>
      <c r="D46" s="31">
        <v>46388</v>
      </c>
      <c r="E46" s="7">
        <v>0.26040000000000002</v>
      </c>
      <c r="F46" s="105"/>
      <c r="G46" s="90"/>
    </row>
    <row r="47" spans="1:11" x14ac:dyDescent="0.25">
      <c r="A47" s="69" t="s">
        <v>110</v>
      </c>
      <c r="B47" s="5" t="s">
        <v>728</v>
      </c>
      <c r="D47" s="31">
        <v>46388</v>
      </c>
      <c r="E47" s="7">
        <v>0.10979999999999999</v>
      </c>
      <c r="F47" s="105"/>
      <c r="G47" s="90"/>
    </row>
    <row r="48" spans="1:11" x14ac:dyDescent="0.25">
      <c r="A48" s="69" t="s">
        <v>110</v>
      </c>
      <c r="B48" s="5" t="s">
        <v>729</v>
      </c>
      <c r="D48" s="31">
        <v>46388</v>
      </c>
      <c r="E48" s="7">
        <v>3.8699999999999998E-2</v>
      </c>
      <c r="F48" s="105"/>
      <c r="G48" s="90"/>
    </row>
    <row r="49" spans="1:11" x14ac:dyDescent="0.25">
      <c r="A49" s="69" t="s">
        <v>110</v>
      </c>
      <c r="B49" s="5" t="s">
        <v>730</v>
      </c>
      <c r="D49" s="31">
        <v>46388</v>
      </c>
      <c r="E49" s="7">
        <v>0.1585</v>
      </c>
      <c r="F49" s="105"/>
      <c r="G49" s="90"/>
    </row>
    <row r="50" spans="1:11" x14ac:dyDescent="0.25">
      <c r="A50" s="69" t="s">
        <v>110</v>
      </c>
      <c r="B50" s="5" t="s">
        <v>731</v>
      </c>
      <c r="D50" s="31">
        <v>46388</v>
      </c>
      <c r="E50" s="7">
        <v>0.13550000000000001</v>
      </c>
      <c r="F50" s="105"/>
      <c r="G50" s="90"/>
    </row>
    <row r="51" spans="1:11" x14ac:dyDescent="0.25">
      <c r="A51" s="69" t="s">
        <v>110</v>
      </c>
      <c r="B51" s="5" t="s">
        <v>732</v>
      </c>
      <c r="D51" s="31">
        <v>46388</v>
      </c>
      <c r="E51" s="7">
        <v>9.7500000000000003E-2</v>
      </c>
      <c r="F51" s="105"/>
      <c r="G51" s="90"/>
    </row>
    <row r="52" spans="1:11" x14ac:dyDescent="0.25">
      <c r="A52" s="69" t="s">
        <v>110</v>
      </c>
      <c r="B52" s="5" t="s">
        <v>733</v>
      </c>
      <c r="D52" s="31">
        <v>46388</v>
      </c>
      <c r="E52" s="7">
        <v>0.1037</v>
      </c>
      <c r="F52" s="105"/>
      <c r="G52" s="90"/>
    </row>
    <row r="53" spans="1:11" x14ac:dyDescent="0.25">
      <c r="A53" s="69" t="s">
        <v>110</v>
      </c>
      <c r="B53" s="5" t="s">
        <v>734</v>
      </c>
      <c r="D53" s="31">
        <v>46388</v>
      </c>
      <c r="E53" s="7">
        <v>4.2099999999999999E-2</v>
      </c>
      <c r="F53" s="105"/>
      <c r="G53" s="90"/>
    </row>
    <row r="54" spans="1:11" x14ac:dyDescent="0.25">
      <c r="A54" s="69" t="s">
        <v>110</v>
      </c>
      <c r="B54" s="5" t="s">
        <v>735</v>
      </c>
      <c r="D54" s="31">
        <v>46388</v>
      </c>
      <c r="E54" s="7">
        <v>0.17330000000000001</v>
      </c>
      <c r="F54" s="105"/>
      <c r="G54" s="90"/>
    </row>
    <row r="55" spans="1:11" x14ac:dyDescent="0.25">
      <c r="A55" s="70" t="s">
        <v>110</v>
      </c>
      <c r="B55" s="10" t="s">
        <v>736</v>
      </c>
      <c r="C55" s="63"/>
      <c r="D55" s="40">
        <v>46388</v>
      </c>
      <c r="E55" s="12">
        <v>0.30170000000000002</v>
      </c>
      <c r="F55" s="106"/>
      <c r="G55" s="91"/>
      <c r="H55" s="63"/>
      <c r="I55" s="63"/>
      <c r="J55" s="63"/>
      <c r="K55" s="63"/>
    </row>
    <row r="56" spans="1:11" x14ac:dyDescent="0.25">
      <c r="A56" s="69" t="s">
        <v>138</v>
      </c>
      <c r="B56" s="5" t="s">
        <v>737</v>
      </c>
      <c r="D56" s="31">
        <v>46388</v>
      </c>
      <c r="E56" s="7">
        <v>0.215</v>
      </c>
      <c r="F56" s="105">
        <f>AVERAGE(E56:E64)</f>
        <v>0.24120000000000003</v>
      </c>
      <c r="G56" s="105">
        <v>0.20649999999999999</v>
      </c>
    </row>
    <row r="57" spans="1:11" x14ac:dyDescent="0.25">
      <c r="A57" s="69" t="s">
        <v>138</v>
      </c>
      <c r="B57" s="5" t="s">
        <v>738</v>
      </c>
      <c r="D57" s="31">
        <v>46388</v>
      </c>
      <c r="E57" s="7">
        <v>0.18</v>
      </c>
      <c r="F57" s="105"/>
      <c r="G57" s="105"/>
    </row>
    <row r="58" spans="1:11" x14ac:dyDescent="0.25">
      <c r="A58" s="69" t="s">
        <v>138</v>
      </c>
      <c r="B58" s="5" t="s">
        <v>739</v>
      </c>
      <c r="D58" s="31">
        <v>46388</v>
      </c>
      <c r="E58" s="7">
        <v>0.122</v>
      </c>
      <c r="F58" s="105"/>
      <c r="G58" s="105"/>
    </row>
    <row r="59" spans="1:11" x14ac:dyDescent="0.25">
      <c r="A59" s="69" t="s">
        <v>138</v>
      </c>
      <c r="B59" s="5" t="s">
        <v>740</v>
      </c>
      <c r="D59" s="31">
        <v>46388</v>
      </c>
      <c r="E59" s="7">
        <v>0.16900000000000001</v>
      </c>
      <c r="F59" s="105"/>
      <c r="G59" s="105"/>
    </row>
    <row r="60" spans="1:11" x14ac:dyDescent="0.25">
      <c r="A60" s="69" t="s">
        <v>138</v>
      </c>
      <c r="B60" s="5" t="s">
        <v>741</v>
      </c>
      <c r="D60" s="31">
        <v>46388</v>
      </c>
      <c r="E60" s="7">
        <v>0.27400000000000002</v>
      </c>
      <c r="F60" s="105"/>
      <c r="G60" s="105"/>
    </row>
    <row r="61" spans="1:11" x14ac:dyDescent="0.25">
      <c r="A61" s="69" t="s">
        <v>138</v>
      </c>
      <c r="B61" s="5" t="s">
        <v>742</v>
      </c>
      <c r="D61" s="31">
        <v>46388</v>
      </c>
      <c r="E61" s="7">
        <v>0.20200000000000001</v>
      </c>
      <c r="F61" s="105"/>
      <c r="G61" s="105"/>
    </row>
    <row r="62" spans="1:11" x14ac:dyDescent="0.25">
      <c r="A62" s="69" t="s">
        <v>138</v>
      </c>
      <c r="B62" s="5" t="s">
        <v>743</v>
      </c>
      <c r="D62" s="31">
        <v>46388</v>
      </c>
      <c r="E62" s="7">
        <v>0.26900000000000002</v>
      </c>
      <c r="F62" s="105"/>
      <c r="G62" s="105"/>
    </row>
    <row r="63" spans="1:11" x14ac:dyDescent="0.25">
      <c r="A63" s="69" t="s">
        <v>138</v>
      </c>
      <c r="B63" s="5" t="s">
        <v>744</v>
      </c>
      <c r="D63" s="31">
        <v>46388</v>
      </c>
      <c r="E63" s="7">
        <v>0.1968</v>
      </c>
      <c r="F63" s="105"/>
      <c r="G63" s="105"/>
    </row>
    <row r="64" spans="1:11" x14ac:dyDescent="0.25">
      <c r="A64" s="70" t="s">
        <v>138</v>
      </c>
      <c r="B64" s="10" t="s">
        <v>745</v>
      </c>
      <c r="C64" s="63"/>
      <c r="D64" s="40">
        <v>46388</v>
      </c>
      <c r="E64" s="12">
        <v>0.54300000000000004</v>
      </c>
      <c r="F64" s="106"/>
      <c r="G64" s="106"/>
      <c r="H64" s="63"/>
      <c r="I64" s="63"/>
      <c r="J64" s="63"/>
      <c r="K64" s="63"/>
    </row>
    <row r="65" spans="1:11" x14ac:dyDescent="0.25">
      <c r="A65" s="72" t="s">
        <v>159</v>
      </c>
      <c r="B65" s="5" t="s">
        <v>746</v>
      </c>
      <c r="D65" s="31">
        <v>46388</v>
      </c>
      <c r="E65" s="7">
        <v>0.13139999999999999</v>
      </c>
      <c r="F65" s="105">
        <f>AVERAGE(E65:E66)</f>
        <v>0.11074999999999999</v>
      </c>
      <c r="G65" s="90"/>
    </row>
    <row r="66" spans="1:11" x14ac:dyDescent="0.25">
      <c r="A66" s="73" t="s">
        <v>159</v>
      </c>
      <c r="B66" s="10" t="s">
        <v>747</v>
      </c>
      <c r="C66" s="63"/>
      <c r="D66" s="40">
        <v>46388</v>
      </c>
      <c r="E66" s="12">
        <v>9.01E-2</v>
      </c>
      <c r="F66" s="106"/>
      <c r="G66" s="91"/>
      <c r="H66" s="63"/>
      <c r="I66" s="63"/>
      <c r="J66" s="63"/>
      <c r="K66" s="63"/>
    </row>
    <row r="67" spans="1:11" x14ac:dyDescent="0.25">
      <c r="A67" s="69" t="s">
        <v>164</v>
      </c>
      <c r="B67" s="5" t="s">
        <v>748</v>
      </c>
      <c r="D67" s="31">
        <v>46388</v>
      </c>
      <c r="E67" s="7">
        <v>0.1275</v>
      </c>
      <c r="F67" s="105">
        <f>AVERAGE(E67:E73)</f>
        <v>0.15271428571428572</v>
      </c>
      <c r="G67" s="90"/>
    </row>
    <row r="68" spans="1:11" x14ac:dyDescent="0.25">
      <c r="A68" s="69" t="s">
        <v>164</v>
      </c>
      <c r="B68" s="5" t="s">
        <v>749</v>
      </c>
      <c r="D68" s="31">
        <v>46388</v>
      </c>
      <c r="E68" s="7">
        <v>0.26819999999999999</v>
      </c>
      <c r="F68" s="105"/>
      <c r="G68" s="90"/>
    </row>
    <row r="69" spans="1:11" x14ac:dyDescent="0.25">
      <c r="A69" s="69" t="s">
        <v>164</v>
      </c>
      <c r="B69" s="5" t="s">
        <v>750</v>
      </c>
      <c r="D69" s="31">
        <v>46388</v>
      </c>
      <c r="E69" s="7">
        <v>0.1293</v>
      </c>
      <c r="F69" s="105"/>
      <c r="G69" s="90"/>
    </row>
    <row r="70" spans="1:11" x14ac:dyDescent="0.25">
      <c r="A70" s="69" t="s">
        <v>164</v>
      </c>
      <c r="B70" s="5" t="s">
        <v>751</v>
      </c>
      <c r="D70" s="31">
        <v>46388</v>
      </c>
      <c r="E70" s="7">
        <v>0.19359999999999999</v>
      </c>
      <c r="F70" s="105"/>
      <c r="G70" s="90"/>
    </row>
    <row r="71" spans="1:11" x14ac:dyDescent="0.25">
      <c r="A71" s="69" t="s">
        <v>164</v>
      </c>
      <c r="B71" s="5" t="s">
        <v>752</v>
      </c>
      <c r="D71" s="31">
        <v>46388</v>
      </c>
      <c r="E71" s="7">
        <v>9.3299999999999994E-2</v>
      </c>
      <c r="F71" s="105"/>
      <c r="G71" s="90"/>
    </row>
    <row r="72" spans="1:11" x14ac:dyDescent="0.25">
      <c r="A72" s="69" t="s">
        <v>164</v>
      </c>
      <c r="B72" s="5" t="s">
        <v>753</v>
      </c>
      <c r="D72" s="31">
        <v>46388</v>
      </c>
      <c r="E72" s="7">
        <v>0.113</v>
      </c>
      <c r="F72" s="105"/>
      <c r="G72" s="90"/>
    </row>
    <row r="73" spans="1:11" x14ac:dyDescent="0.25">
      <c r="A73" s="70" t="s">
        <v>164</v>
      </c>
      <c r="B73" s="10" t="s">
        <v>754</v>
      </c>
      <c r="C73" s="63"/>
      <c r="D73" s="40">
        <v>46388</v>
      </c>
      <c r="E73" s="12">
        <v>0.14410000000000001</v>
      </c>
      <c r="F73" s="106"/>
      <c r="G73" s="91"/>
      <c r="H73" s="63"/>
      <c r="I73" s="63"/>
      <c r="J73" s="63"/>
      <c r="K73" s="63"/>
    </row>
    <row r="74" spans="1:11" x14ac:dyDescent="0.25">
      <c r="A74" s="72" t="s">
        <v>180</v>
      </c>
      <c r="B74" s="5" t="s">
        <v>755</v>
      </c>
      <c r="D74" s="31">
        <v>46388</v>
      </c>
      <c r="E74" s="7">
        <v>0.14899999999999999</v>
      </c>
      <c r="F74" s="105">
        <v>0.1052</v>
      </c>
      <c r="G74" s="105">
        <v>0.14019999999999999</v>
      </c>
    </row>
    <row r="75" spans="1:11" x14ac:dyDescent="0.25">
      <c r="A75" s="72" t="s">
        <v>180</v>
      </c>
      <c r="B75" s="5" t="s">
        <v>686</v>
      </c>
      <c r="D75" s="31">
        <v>46388</v>
      </c>
      <c r="E75" s="7">
        <v>9.1999999999999998E-2</v>
      </c>
      <c r="F75" s="105"/>
      <c r="G75" s="105"/>
    </row>
    <row r="76" spans="1:11" x14ac:dyDescent="0.25">
      <c r="A76" s="72" t="s">
        <v>180</v>
      </c>
      <c r="B76" s="5" t="s">
        <v>756</v>
      </c>
      <c r="D76" s="31">
        <v>46388</v>
      </c>
      <c r="E76" s="7">
        <v>0.1215</v>
      </c>
      <c r="F76" s="105"/>
      <c r="G76" s="105"/>
    </row>
    <row r="77" spans="1:11" x14ac:dyDescent="0.25">
      <c r="A77" s="72" t="s">
        <v>180</v>
      </c>
      <c r="B77" s="5" t="s">
        <v>757</v>
      </c>
      <c r="D77" s="31">
        <v>46388</v>
      </c>
      <c r="E77" s="7">
        <v>1.7999999999999999E-2</v>
      </c>
      <c r="F77" s="105"/>
      <c r="G77" s="105"/>
    </row>
    <row r="78" spans="1:11" x14ac:dyDescent="0.25">
      <c r="A78" s="72" t="s">
        <v>180</v>
      </c>
      <c r="B78" s="5" t="s">
        <v>758</v>
      </c>
      <c r="D78" s="31">
        <v>46388</v>
      </c>
      <c r="E78" s="7">
        <v>0.127</v>
      </c>
      <c r="F78" s="105"/>
      <c r="G78" s="105"/>
    </row>
    <row r="79" spans="1:11" x14ac:dyDescent="0.25">
      <c r="A79" s="73" t="s">
        <v>180</v>
      </c>
      <c r="B79" s="10" t="s">
        <v>759</v>
      </c>
      <c r="C79" s="63"/>
      <c r="D79" s="40">
        <v>46388</v>
      </c>
      <c r="E79" s="12">
        <v>0.1235</v>
      </c>
      <c r="F79" s="106"/>
      <c r="G79" s="106"/>
      <c r="H79" s="63"/>
      <c r="I79" s="63"/>
      <c r="J79" s="63"/>
      <c r="K79" s="63"/>
    </row>
    <row r="80" spans="1:11" x14ac:dyDescent="0.25">
      <c r="A80" s="69" t="s">
        <v>193</v>
      </c>
      <c r="B80" s="5" t="s">
        <v>760</v>
      </c>
      <c r="D80" s="31">
        <v>46388</v>
      </c>
      <c r="E80" s="7" t="s">
        <v>761</v>
      </c>
      <c r="F80" s="105">
        <v>0.2213</v>
      </c>
      <c r="G80" s="107">
        <v>0.1885</v>
      </c>
    </row>
    <row r="81" spans="1:11" x14ac:dyDescent="0.25">
      <c r="A81" s="69" t="s">
        <v>193</v>
      </c>
      <c r="B81" s="5" t="s">
        <v>762</v>
      </c>
      <c r="D81" s="31">
        <v>46388</v>
      </c>
      <c r="E81" s="7">
        <v>0.156</v>
      </c>
      <c r="F81" s="105"/>
      <c r="G81" s="105"/>
    </row>
    <row r="82" spans="1:11" x14ac:dyDescent="0.25">
      <c r="A82" s="69" t="s">
        <v>193</v>
      </c>
      <c r="B82" s="5" t="s">
        <v>686</v>
      </c>
      <c r="D82" s="31">
        <v>46388</v>
      </c>
      <c r="E82" s="7">
        <v>0.153</v>
      </c>
      <c r="F82" s="105"/>
      <c r="G82" s="105"/>
    </row>
    <row r="83" spans="1:11" x14ac:dyDescent="0.25">
      <c r="A83" s="69" t="s">
        <v>193</v>
      </c>
      <c r="B83" s="5" t="s">
        <v>763</v>
      </c>
      <c r="D83" s="31">
        <v>46388</v>
      </c>
      <c r="E83" s="7">
        <v>0.252</v>
      </c>
      <c r="F83" s="105"/>
      <c r="G83" s="105"/>
    </row>
    <row r="84" spans="1:11" x14ac:dyDescent="0.25">
      <c r="A84" s="70" t="s">
        <v>193</v>
      </c>
      <c r="B84" s="10" t="s">
        <v>560</v>
      </c>
      <c r="C84" s="63"/>
      <c r="D84" s="40">
        <v>46388</v>
      </c>
      <c r="E84" s="12">
        <v>0.32400000000000001</v>
      </c>
      <c r="F84" s="106"/>
      <c r="G84" s="106"/>
      <c r="H84" s="63"/>
      <c r="I84" s="63"/>
      <c r="J84" s="63"/>
      <c r="K84" s="63"/>
    </row>
    <row r="85" spans="1:11" x14ac:dyDescent="0.25">
      <c r="A85" s="72" t="s">
        <v>203</v>
      </c>
      <c r="B85" s="5" t="s">
        <v>764</v>
      </c>
      <c r="D85" s="31">
        <v>46388</v>
      </c>
      <c r="E85" s="7">
        <v>0.1482</v>
      </c>
      <c r="F85" s="107">
        <v>0.1207</v>
      </c>
      <c r="G85" s="107">
        <v>6.7199999999999996E-2</v>
      </c>
    </row>
    <row r="86" spans="1:11" x14ac:dyDescent="0.25">
      <c r="A86" s="72" t="s">
        <v>203</v>
      </c>
      <c r="B86" s="5" t="s">
        <v>765</v>
      </c>
      <c r="D86" s="31">
        <v>46388</v>
      </c>
      <c r="E86" s="7">
        <v>0.16839999999999999</v>
      </c>
      <c r="F86" s="105"/>
      <c r="G86" s="105"/>
    </row>
    <row r="87" spans="1:11" x14ac:dyDescent="0.25">
      <c r="A87" s="72" t="s">
        <v>203</v>
      </c>
      <c r="B87" s="5" t="s">
        <v>687</v>
      </c>
      <c r="D87" s="31">
        <v>46388</v>
      </c>
      <c r="E87" s="7">
        <v>0.11940000000000001</v>
      </c>
      <c r="F87" s="105"/>
      <c r="G87" s="105"/>
    </row>
    <row r="88" spans="1:11" x14ac:dyDescent="0.25">
      <c r="A88" s="72" t="s">
        <v>203</v>
      </c>
      <c r="B88" s="5" t="s">
        <v>766</v>
      </c>
      <c r="D88" s="31">
        <v>46388</v>
      </c>
      <c r="E88" s="7">
        <v>0.1177</v>
      </c>
      <c r="F88" s="105"/>
      <c r="G88" s="105"/>
    </row>
    <row r="89" spans="1:11" x14ac:dyDescent="0.25">
      <c r="A89" s="73" t="s">
        <v>203</v>
      </c>
      <c r="B89" s="10" t="s">
        <v>767</v>
      </c>
      <c r="C89" s="63"/>
      <c r="D89" s="40">
        <v>46388</v>
      </c>
      <c r="E89" s="12">
        <v>4.9799999999999997E-2</v>
      </c>
      <c r="F89" s="106"/>
      <c r="G89" s="106"/>
      <c r="H89" s="63"/>
      <c r="I89" s="63"/>
      <c r="J89" s="63"/>
      <c r="K89" s="63"/>
    </row>
    <row r="90" spans="1:11" x14ac:dyDescent="0.25">
      <c r="A90" s="69" t="s">
        <v>214</v>
      </c>
      <c r="B90" s="5" t="s">
        <v>768</v>
      </c>
      <c r="D90" s="31">
        <v>46388</v>
      </c>
      <c r="E90" s="7">
        <v>0.16739999999999999</v>
      </c>
      <c r="F90" s="107">
        <f>AVERAGE(E90:E95)</f>
        <v>0.19943333333333332</v>
      </c>
      <c r="G90" s="90"/>
    </row>
    <row r="91" spans="1:11" x14ac:dyDescent="0.25">
      <c r="A91" s="69" t="s">
        <v>214</v>
      </c>
      <c r="B91" s="5" t="s">
        <v>769</v>
      </c>
      <c r="D91" s="31">
        <v>46388</v>
      </c>
      <c r="E91" s="7">
        <v>0.15379999999999999</v>
      </c>
      <c r="F91" s="105"/>
      <c r="G91" s="90"/>
    </row>
    <row r="92" spans="1:11" x14ac:dyDescent="0.25">
      <c r="A92" s="69" t="s">
        <v>214</v>
      </c>
      <c r="B92" s="5" t="s">
        <v>770</v>
      </c>
      <c r="D92" s="31">
        <v>46388</v>
      </c>
      <c r="E92" s="7">
        <v>0.1603</v>
      </c>
      <c r="F92" s="105"/>
      <c r="G92" s="90"/>
    </row>
    <row r="93" spans="1:11" x14ac:dyDescent="0.25">
      <c r="A93" s="69" t="s">
        <v>214</v>
      </c>
      <c r="B93" s="5" t="s">
        <v>686</v>
      </c>
      <c r="D93" s="31">
        <v>46388</v>
      </c>
      <c r="E93" s="7">
        <v>0.1671</v>
      </c>
      <c r="F93" s="105"/>
      <c r="G93" s="90"/>
    </row>
    <row r="94" spans="1:11" x14ac:dyDescent="0.25">
      <c r="A94" s="69" t="s">
        <v>214</v>
      </c>
      <c r="B94" s="5" t="s">
        <v>687</v>
      </c>
      <c r="D94" s="31">
        <v>46388</v>
      </c>
      <c r="E94" s="7">
        <v>0.19989999999999999</v>
      </c>
      <c r="F94" s="105"/>
      <c r="G94" s="90"/>
    </row>
    <row r="95" spans="1:11" x14ac:dyDescent="0.25">
      <c r="A95" s="70" t="s">
        <v>214</v>
      </c>
      <c r="B95" s="10" t="s">
        <v>771</v>
      </c>
      <c r="C95" s="63"/>
      <c r="D95" s="40">
        <v>46388</v>
      </c>
      <c r="E95" s="12">
        <v>0.34810000000000002</v>
      </c>
      <c r="F95" s="106"/>
      <c r="G95" s="91"/>
      <c r="H95" s="63"/>
      <c r="I95" s="63"/>
      <c r="J95" s="63"/>
      <c r="K95" s="63"/>
    </row>
    <row r="96" spans="1:11" x14ac:dyDescent="0.25">
      <c r="A96" s="69" t="s">
        <v>223</v>
      </c>
      <c r="B96" s="5" t="s">
        <v>772</v>
      </c>
      <c r="D96" s="31">
        <v>46388</v>
      </c>
      <c r="E96" s="7">
        <v>0.1691</v>
      </c>
      <c r="F96" s="105">
        <v>0.19600000000000001</v>
      </c>
      <c r="G96" s="90"/>
    </row>
    <row r="97" spans="1:11" x14ac:dyDescent="0.25">
      <c r="A97" s="69" t="s">
        <v>223</v>
      </c>
      <c r="B97" s="5" t="s">
        <v>773</v>
      </c>
      <c r="D97" s="31">
        <v>46388</v>
      </c>
      <c r="E97" s="7">
        <v>0.21199999999999999</v>
      </c>
      <c r="F97" s="105"/>
      <c r="G97" s="90"/>
    </row>
    <row r="98" spans="1:11" x14ac:dyDescent="0.25">
      <c r="A98" s="70" t="s">
        <v>223</v>
      </c>
      <c r="B98" s="10" t="s">
        <v>774</v>
      </c>
      <c r="C98" s="63"/>
      <c r="D98" s="40">
        <v>46388</v>
      </c>
      <c r="E98" s="12">
        <v>0.20699999999999999</v>
      </c>
      <c r="F98" s="106"/>
      <c r="G98" s="91"/>
      <c r="H98" s="63"/>
      <c r="I98" s="63"/>
      <c r="J98" s="63"/>
      <c r="K98" s="63"/>
    </row>
    <row r="99" spans="1:11" x14ac:dyDescent="0.25">
      <c r="A99" s="69" t="s">
        <v>230</v>
      </c>
      <c r="B99" s="5" t="s">
        <v>775</v>
      </c>
      <c r="D99" s="31">
        <v>46388</v>
      </c>
      <c r="E99" s="7">
        <v>0.223</v>
      </c>
      <c r="F99" s="107">
        <f>AVERAGE(E99:E104)</f>
        <v>0.15773333333333334</v>
      </c>
      <c r="G99" s="107">
        <v>0.17249999999999999</v>
      </c>
    </row>
    <row r="100" spans="1:11" x14ac:dyDescent="0.25">
      <c r="A100" s="69" t="s">
        <v>230</v>
      </c>
      <c r="B100" s="5" t="s">
        <v>776</v>
      </c>
      <c r="D100" s="31">
        <v>46388</v>
      </c>
      <c r="E100" s="7">
        <v>0.1051</v>
      </c>
      <c r="F100" s="105"/>
      <c r="G100" s="105"/>
    </row>
    <row r="101" spans="1:11" x14ac:dyDescent="0.25">
      <c r="A101" s="69" t="s">
        <v>230</v>
      </c>
      <c r="B101" s="5" t="s">
        <v>777</v>
      </c>
      <c r="D101" s="31">
        <v>46388</v>
      </c>
      <c r="E101" s="7">
        <v>0.13800000000000001</v>
      </c>
      <c r="F101" s="105"/>
      <c r="G101" s="105"/>
    </row>
    <row r="102" spans="1:11" x14ac:dyDescent="0.25">
      <c r="A102" s="69" t="s">
        <v>230</v>
      </c>
      <c r="B102" s="5" t="s">
        <v>778</v>
      </c>
      <c r="D102" s="31">
        <v>46388</v>
      </c>
      <c r="E102" s="7">
        <v>0.13250000000000001</v>
      </c>
      <c r="F102" s="105"/>
      <c r="G102" s="105"/>
    </row>
    <row r="103" spans="1:11" x14ac:dyDescent="0.25">
      <c r="A103" s="69" t="s">
        <v>230</v>
      </c>
      <c r="B103" s="5" t="s">
        <v>779</v>
      </c>
      <c r="D103" s="31">
        <v>46388</v>
      </c>
      <c r="E103" s="7">
        <v>0.13619999999999999</v>
      </c>
      <c r="F103" s="105"/>
      <c r="G103" s="105"/>
    </row>
    <row r="104" spans="1:11" x14ac:dyDescent="0.25">
      <c r="A104" s="70" t="s">
        <v>230</v>
      </c>
      <c r="B104" s="10" t="s">
        <v>780</v>
      </c>
      <c r="C104" s="63"/>
      <c r="D104" s="40">
        <v>46388</v>
      </c>
      <c r="E104" s="12">
        <v>0.21160000000000001</v>
      </c>
      <c r="F104" s="106"/>
      <c r="G104" s="106"/>
      <c r="H104" s="63"/>
      <c r="I104" s="63"/>
      <c r="J104" s="63"/>
      <c r="K104" s="63"/>
    </row>
    <row r="105" spans="1:11" x14ac:dyDescent="0.25">
      <c r="A105" s="72" t="s">
        <v>259</v>
      </c>
      <c r="B105" s="5" t="s">
        <v>781</v>
      </c>
      <c r="D105" s="31">
        <v>46388</v>
      </c>
      <c r="E105" s="89">
        <v>0.15459999999999999</v>
      </c>
      <c r="F105" s="105">
        <f>AVERAGE(E105:E112)</f>
        <v>0.12317500000000001</v>
      </c>
      <c r="G105" s="107">
        <v>0.1308</v>
      </c>
    </row>
    <row r="106" spans="1:11" x14ac:dyDescent="0.25">
      <c r="A106" s="72" t="s">
        <v>259</v>
      </c>
      <c r="B106" s="5" t="s">
        <v>782</v>
      </c>
      <c r="D106" s="31">
        <v>46388</v>
      </c>
      <c r="E106" s="89">
        <v>0.1138</v>
      </c>
      <c r="F106" s="105"/>
      <c r="G106" s="105"/>
    </row>
    <row r="107" spans="1:11" x14ac:dyDescent="0.25">
      <c r="A107" s="72" t="s">
        <v>259</v>
      </c>
      <c r="B107" s="5" t="s">
        <v>783</v>
      </c>
      <c r="D107" s="31">
        <v>46388</v>
      </c>
      <c r="E107" s="89">
        <v>0.25700000000000001</v>
      </c>
      <c r="F107" s="105"/>
      <c r="G107" s="105"/>
    </row>
    <row r="108" spans="1:11" x14ac:dyDescent="0.25">
      <c r="A108" s="72" t="s">
        <v>259</v>
      </c>
      <c r="B108" s="5" t="s">
        <v>784</v>
      </c>
      <c r="D108" s="31">
        <v>46388</v>
      </c>
      <c r="E108" s="89">
        <v>5.8999999999999997E-2</v>
      </c>
      <c r="F108" s="105"/>
      <c r="G108" s="105"/>
    </row>
    <row r="109" spans="1:11" x14ac:dyDescent="0.25">
      <c r="A109" s="72" t="s">
        <v>259</v>
      </c>
      <c r="B109" s="5" t="s">
        <v>785</v>
      </c>
      <c r="D109" s="31">
        <v>46388</v>
      </c>
      <c r="E109" s="89">
        <v>0.12559999999999999</v>
      </c>
      <c r="F109" s="105"/>
      <c r="G109" s="105"/>
    </row>
    <row r="110" spans="1:11" x14ac:dyDescent="0.25">
      <c r="A110" s="72" t="s">
        <v>259</v>
      </c>
      <c r="B110" s="5" t="s">
        <v>786</v>
      </c>
      <c r="D110" s="31">
        <v>46388</v>
      </c>
      <c r="E110" s="89">
        <v>0.11849999999999999</v>
      </c>
      <c r="F110" s="105"/>
      <c r="G110" s="105"/>
    </row>
    <row r="111" spans="1:11" x14ac:dyDescent="0.25">
      <c r="A111" s="72" t="s">
        <v>259</v>
      </c>
      <c r="B111" s="5" t="s">
        <v>787</v>
      </c>
      <c r="D111" s="31">
        <v>46388</v>
      </c>
      <c r="E111" s="89">
        <v>7.3300000000000004E-2</v>
      </c>
      <c r="F111" s="105"/>
      <c r="G111" s="105"/>
    </row>
    <row r="112" spans="1:11" x14ac:dyDescent="0.25">
      <c r="A112" s="73" t="s">
        <v>259</v>
      </c>
      <c r="B112" s="10" t="s">
        <v>780</v>
      </c>
      <c r="C112" s="63"/>
      <c r="D112" s="40">
        <v>46388</v>
      </c>
      <c r="E112" s="88">
        <v>8.3599999999999994E-2</v>
      </c>
      <c r="F112" s="106"/>
      <c r="G112" s="106"/>
      <c r="H112" s="63"/>
      <c r="I112" s="63"/>
      <c r="J112" s="63"/>
      <c r="K112" s="63"/>
    </row>
    <row r="113" spans="1:11" x14ac:dyDescent="0.25">
      <c r="A113" s="69" t="s">
        <v>238</v>
      </c>
      <c r="B113" s="5" t="s">
        <v>788</v>
      </c>
      <c r="D113" s="31">
        <v>46388</v>
      </c>
      <c r="E113" s="7">
        <v>0.17899999999999999</v>
      </c>
      <c r="F113" s="105">
        <v>0.1585</v>
      </c>
      <c r="G113" s="105">
        <v>0.16839999999999999</v>
      </c>
    </row>
    <row r="114" spans="1:11" x14ac:dyDescent="0.25">
      <c r="A114" s="69" t="s">
        <v>238</v>
      </c>
      <c r="B114" s="5" t="s">
        <v>789</v>
      </c>
      <c r="D114" s="31">
        <v>46388</v>
      </c>
      <c r="E114" s="7">
        <v>9.1999999999999998E-2</v>
      </c>
      <c r="F114" s="105"/>
      <c r="G114" s="105"/>
    </row>
    <row r="115" spans="1:11" x14ac:dyDescent="0.25">
      <c r="A115" s="69" t="s">
        <v>238</v>
      </c>
      <c r="B115" s="5" t="s">
        <v>790</v>
      </c>
      <c r="D115" s="31">
        <v>46388</v>
      </c>
      <c r="E115" s="7">
        <v>0.10199999999999999</v>
      </c>
      <c r="F115" s="105"/>
      <c r="G115" s="105"/>
    </row>
    <row r="116" spans="1:11" x14ac:dyDescent="0.25">
      <c r="A116" s="69" t="s">
        <v>238</v>
      </c>
      <c r="B116" s="5" t="s">
        <v>791</v>
      </c>
      <c r="D116" s="31">
        <v>46388</v>
      </c>
      <c r="E116" s="7">
        <v>0.20899999999999999</v>
      </c>
      <c r="F116" s="105"/>
      <c r="G116" s="105"/>
    </row>
    <row r="117" spans="1:11" x14ac:dyDescent="0.25">
      <c r="A117" s="69" t="s">
        <v>238</v>
      </c>
      <c r="B117" s="5" t="s">
        <v>688</v>
      </c>
      <c r="D117" s="31">
        <v>46388</v>
      </c>
      <c r="E117" s="7">
        <v>0.182</v>
      </c>
      <c r="F117" s="105"/>
      <c r="G117" s="105"/>
    </row>
    <row r="118" spans="1:11" x14ac:dyDescent="0.25">
      <c r="A118" s="70" t="s">
        <v>238</v>
      </c>
      <c r="B118" s="10" t="s">
        <v>792</v>
      </c>
      <c r="C118" s="63"/>
      <c r="D118" s="40">
        <v>46388</v>
      </c>
      <c r="E118" s="12">
        <v>0.187</v>
      </c>
      <c r="F118" s="106"/>
      <c r="G118" s="106"/>
      <c r="H118" s="63"/>
      <c r="I118" s="63"/>
      <c r="J118" s="63"/>
      <c r="K118" s="63"/>
    </row>
    <row r="119" spans="1:11" x14ac:dyDescent="0.25">
      <c r="A119" s="72" t="s">
        <v>249</v>
      </c>
      <c r="B119" s="5" t="s">
        <v>793</v>
      </c>
      <c r="D119" s="31">
        <v>46388</v>
      </c>
      <c r="E119" s="7">
        <v>0.14299999999999999</v>
      </c>
      <c r="F119" s="105">
        <v>0.1363</v>
      </c>
      <c r="G119" s="107">
        <v>0.13700000000000001</v>
      </c>
    </row>
    <row r="120" spans="1:11" x14ac:dyDescent="0.25">
      <c r="A120" s="72" t="s">
        <v>249</v>
      </c>
      <c r="B120" s="5" t="s">
        <v>794</v>
      </c>
      <c r="D120" s="31">
        <v>46388</v>
      </c>
      <c r="E120" s="7">
        <v>0.14599999999999999</v>
      </c>
      <c r="F120" s="105"/>
      <c r="G120" s="105"/>
    </row>
    <row r="121" spans="1:11" x14ac:dyDescent="0.25">
      <c r="A121" s="72" t="s">
        <v>249</v>
      </c>
      <c r="B121" s="5" t="s">
        <v>795</v>
      </c>
      <c r="D121" s="31">
        <v>46388</v>
      </c>
      <c r="E121" s="7">
        <v>0.14599999999999999</v>
      </c>
      <c r="F121" s="105"/>
      <c r="G121" s="105"/>
    </row>
    <row r="122" spans="1:11" x14ac:dyDescent="0.25">
      <c r="A122" s="72" t="s">
        <v>249</v>
      </c>
      <c r="B122" s="5" t="s">
        <v>796</v>
      </c>
      <c r="D122" s="31">
        <v>46388</v>
      </c>
      <c r="E122" s="7">
        <v>0.12</v>
      </c>
      <c r="F122" s="105"/>
      <c r="G122" s="105"/>
    </row>
    <row r="123" spans="1:11" x14ac:dyDescent="0.25">
      <c r="A123" s="72" t="s">
        <v>249</v>
      </c>
      <c r="B123" s="5" t="s">
        <v>797</v>
      </c>
      <c r="D123" s="31">
        <v>46388</v>
      </c>
      <c r="E123" s="7">
        <v>0.13500000000000001</v>
      </c>
      <c r="F123" s="105"/>
      <c r="G123" s="105"/>
    </row>
    <row r="124" spans="1:11" x14ac:dyDescent="0.25">
      <c r="A124" s="73" t="s">
        <v>249</v>
      </c>
      <c r="B124" s="10" t="s">
        <v>798</v>
      </c>
      <c r="C124" s="63"/>
      <c r="D124" s="40">
        <v>46388</v>
      </c>
      <c r="E124" s="12">
        <v>0.128</v>
      </c>
      <c r="F124" s="106"/>
      <c r="G124" s="106"/>
      <c r="H124" s="63"/>
      <c r="I124" s="63"/>
      <c r="J124" s="63"/>
      <c r="K124" s="63"/>
    </row>
    <row r="125" spans="1:11" x14ac:dyDescent="0.25">
      <c r="A125" s="69" t="s">
        <v>274</v>
      </c>
      <c r="B125" s="5" t="s">
        <v>799</v>
      </c>
      <c r="D125" s="31">
        <v>46388</v>
      </c>
      <c r="E125" s="7">
        <v>0.14099999999999999</v>
      </c>
      <c r="F125" s="107">
        <v>0.16370000000000001</v>
      </c>
      <c r="G125" s="107">
        <v>0.14610000000000001</v>
      </c>
    </row>
    <row r="126" spans="1:11" x14ac:dyDescent="0.25">
      <c r="A126" s="69" t="s">
        <v>274</v>
      </c>
      <c r="B126" s="5" t="s">
        <v>800</v>
      </c>
      <c r="D126" s="31">
        <v>46388</v>
      </c>
      <c r="E126" s="7">
        <v>0.125</v>
      </c>
      <c r="F126" s="105"/>
      <c r="G126" s="105"/>
    </row>
    <row r="127" spans="1:11" x14ac:dyDescent="0.25">
      <c r="A127" s="69" t="s">
        <v>274</v>
      </c>
      <c r="B127" s="5" t="s">
        <v>801</v>
      </c>
      <c r="D127" s="31">
        <v>46388</v>
      </c>
      <c r="E127" s="7">
        <v>0.129</v>
      </c>
      <c r="F127" s="105"/>
      <c r="G127" s="105"/>
    </row>
    <row r="128" spans="1:11" x14ac:dyDescent="0.25">
      <c r="A128" s="69" t="s">
        <v>274</v>
      </c>
      <c r="B128" s="5" t="s">
        <v>802</v>
      </c>
      <c r="D128" s="31">
        <v>46388</v>
      </c>
      <c r="E128" s="7">
        <v>0.126</v>
      </c>
      <c r="F128" s="105"/>
      <c r="G128" s="105"/>
    </row>
    <row r="129" spans="1:11" x14ac:dyDescent="0.25">
      <c r="A129" s="69" t="s">
        <v>274</v>
      </c>
      <c r="B129" s="5" t="s">
        <v>803</v>
      </c>
      <c r="D129" s="31">
        <v>46388</v>
      </c>
      <c r="E129" s="7">
        <v>0.16300000000000001</v>
      </c>
      <c r="F129" s="105"/>
      <c r="G129" s="105"/>
    </row>
    <row r="130" spans="1:11" x14ac:dyDescent="0.25">
      <c r="A130" s="69" t="s">
        <v>274</v>
      </c>
      <c r="B130" s="5" t="s">
        <v>804</v>
      </c>
      <c r="D130" s="31">
        <v>46388</v>
      </c>
      <c r="E130" s="7">
        <v>0.24399999999999999</v>
      </c>
      <c r="F130" s="105"/>
      <c r="G130" s="105"/>
    </row>
    <row r="131" spans="1:11" x14ac:dyDescent="0.25">
      <c r="A131" s="69" t="s">
        <v>274</v>
      </c>
      <c r="B131" s="5" t="s">
        <v>805</v>
      </c>
      <c r="D131" s="31">
        <v>46388</v>
      </c>
      <c r="E131" s="7">
        <v>0.224</v>
      </c>
      <c r="F131" s="105"/>
      <c r="G131" s="105"/>
    </row>
    <row r="132" spans="1:11" x14ac:dyDescent="0.25">
      <c r="A132" s="69" t="s">
        <v>274</v>
      </c>
      <c r="B132" s="5" t="s">
        <v>687</v>
      </c>
      <c r="D132" s="31">
        <v>46388</v>
      </c>
      <c r="E132" s="7">
        <v>0.11899999999999999</v>
      </c>
      <c r="F132" s="105"/>
      <c r="G132" s="105"/>
    </row>
    <row r="133" spans="1:11" x14ac:dyDescent="0.25">
      <c r="A133" s="69" t="s">
        <v>274</v>
      </c>
      <c r="B133" s="5" t="s">
        <v>806</v>
      </c>
      <c r="D133" s="31">
        <v>46388</v>
      </c>
      <c r="E133" s="7">
        <v>0.111</v>
      </c>
      <c r="F133" s="105"/>
      <c r="G133" s="105"/>
    </row>
    <row r="134" spans="1:11" x14ac:dyDescent="0.25">
      <c r="A134" s="70" t="s">
        <v>274</v>
      </c>
      <c r="B134" s="10" t="s">
        <v>807</v>
      </c>
      <c r="C134" s="63"/>
      <c r="D134" s="40">
        <v>46388</v>
      </c>
      <c r="E134" s="12">
        <v>0.255</v>
      </c>
      <c r="F134" s="106"/>
      <c r="G134" s="106"/>
      <c r="H134" s="63"/>
      <c r="I134" s="63"/>
      <c r="J134" s="63"/>
      <c r="K134" s="63"/>
    </row>
    <row r="135" spans="1:11" x14ac:dyDescent="0.25">
      <c r="A135" s="72" t="s">
        <v>296</v>
      </c>
      <c r="B135" s="5" t="s">
        <v>808</v>
      </c>
      <c r="D135" s="31">
        <v>46388</v>
      </c>
      <c r="E135" s="7" t="s">
        <v>761</v>
      </c>
      <c r="F135" s="105">
        <v>0.11600000000000001</v>
      </c>
      <c r="G135" s="107">
        <v>0.11899999999999999</v>
      </c>
    </row>
    <row r="136" spans="1:11" x14ac:dyDescent="0.25">
      <c r="A136" s="72" t="s">
        <v>296</v>
      </c>
      <c r="B136" s="5" t="s">
        <v>809</v>
      </c>
      <c r="D136" s="31">
        <v>46388</v>
      </c>
      <c r="E136" s="7">
        <v>0.10299999999999999</v>
      </c>
      <c r="F136" s="105"/>
      <c r="G136" s="105"/>
    </row>
    <row r="137" spans="1:11" x14ac:dyDescent="0.25">
      <c r="A137" s="72" t="s">
        <v>296</v>
      </c>
      <c r="B137" s="5" t="s">
        <v>810</v>
      </c>
      <c r="D137" s="31">
        <v>46388</v>
      </c>
      <c r="E137" s="7">
        <v>0.124</v>
      </c>
      <c r="F137" s="105"/>
      <c r="G137" s="105"/>
    </row>
    <row r="138" spans="1:11" x14ac:dyDescent="0.25">
      <c r="A138" s="72" t="s">
        <v>296</v>
      </c>
      <c r="B138" s="5" t="s">
        <v>811</v>
      </c>
      <c r="D138" s="31">
        <v>46388</v>
      </c>
      <c r="E138" s="7">
        <v>0.123</v>
      </c>
      <c r="F138" s="105"/>
      <c r="G138" s="105"/>
    </row>
    <row r="139" spans="1:11" x14ac:dyDescent="0.25">
      <c r="A139" s="72" t="s">
        <v>296</v>
      </c>
      <c r="B139" s="5" t="s">
        <v>812</v>
      </c>
      <c r="D139" s="31">
        <v>46388</v>
      </c>
      <c r="E139" s="7">
        <v>0.13</v>
      </c>
      <c r="F139" s="105"/>
      <c r="G139" s="105"/>
    </row>
    <row r="140" spans="1:11" x14ac:dyDescent="0.25">
      <c r="A140" s="73" t="s">
        <v>296</v>
      </c>
      <c r="B140" s="10" t="s">
        <v>813</v>
      </c>
      <c r="C140" s="63"/>
      <c r="D140" s="40">
        <v>46388</v>
      </c>
      <c r="E140" s="12">
        <v>0.1</v>
      </c>
      <c r="F140" s="106"/>
      <c r="G140" s="106"/>
      <c r="H140" s="63"/>
      <c r="I140" s="63"/>
      <c r="J140" s="63"/>
      <c r="K140" s="63"/>
    </row>
    <row r="141" spans="1:11" x14ac:dyDescent="0.25">
      <c r="A141" s="69" t="s">
        <v>308</v>
      </c>
      <c r="B141" s="5" t="s">
        <v>814</v>
      </c>
      <c r="D141" s="31">
        <v>46388</v>
      </c>
      <c r="E141" s="7">
        <v>0.18640000000000001</v>
      </c>
      <c r="F141" s="107">
        <f>AVERAGE(E141:E145)</f>
        <v>0.21446000000000001</v>
      </c>
      <c r="G141" s="90"/>
    </row>
    <row r="142" spans="1:11" x14ac:dyDescent="0.25">
      <c r="A142" s="69" t="s">
        <v>308</v>
      </c>
      <c r="B142" s="5" t="s">
        <v>815</v>
      </c>
      <c r="D142" s="31">
        <v>46388</v>
      </c>
      <c r="E142" s="7">
        <v>9.69E-2</v>
      </c>
      <c r="F142" s="105"/>
      <c r="G142" s="90"/>
    </row>
    <row r="143" spans="1:11" x14ac:dyDescent="0.25">
      <c r="A143" s="69" t="s">
        <v>308</v>
      </c>
      <c r="B143" s="5" t="s">
        <v>686</v>
      </c>
      <c r="D143" s="31">
        <v>46388</v>
      </c>
      <c r="E143" s="7">
        <v>0.20380000000000001</v>
      </c>
      <c r="F143" s="105"/>
      <c r="G143" s="90"/>
    </row>
    <row r="144" spans="1:11" x14ac:dyDescent="0.25">
      <c r="A144" s="69" t="s">
        <v>308</v>
      </c>
      <c r="B144" s="5" t="s">
        <v>816</v>
      </c>
      <c r="D144" s="31">
        <v>46388</v>
      </c>
      <c r="E144" s="7">
        <v>0.32569999999999999</v>
      </c>
      <c r="F144" s="105"/>
      <c r="G144" s="90"/>
    </row>
    <row r="145" spans="1:11" x14ac:dyDescent="0.25">
      <c r="A145" s="70" t="s">
        <v>308</v>
      </c>
      <c r="B145" s="10" t="s">
        <v>817</v>
      </c>
      <c r="C145" s="63"/>
      <c r="D145" s="40">
        <v>46388</v>
      </c>
      <c r="E145" s="12">
        <v>0.25950000000000001</v>
      </c>
      <c r="F145" s="106"/>
      <c r="G145" s="91"/>
      <c r="H145" s="63"/>
      <c r="I145" s="63"/>
      <c r="J145" s="63"/>
      <c r="K145" s="63"/>
    </row>
    <row r="146" spans="1:11" x14ac:dyDescent="0.25">
      <c r="A146" s="72" t="s">
        <v>319</v>
      </c>
      <c r="B146" s="5" t="s">
        <v>768</v>
      </c>
      <c r="D146" s="31">
        <v>46388</v>
      </c>
      <c r="E146" s="7">
        <v>0.1132</v>
      </c>
      <c r="F146" s="107">
        <f>AVERAGE(E146:E152)</f>
        <v>0.14654285714285714</v>
      </c>
      <c r="G146" s="90"/>
    </row>
    <row r="147" spans="1:11" x14ac:dyDescent="0.25">
      <c r="A147" s="72" t="s">
        <v>319</v>
      </c>
      <c r="B147" s="5" t="s">
        <v>769</v>
      </c>
      <c r="D147" s="31">
        <v>46388</v>
      </c>
      <c r="E147" s="7">
        <v>0.1028</v>
      </c>
      <c r="F147" s="105"/>
      <c r="G147" s="90"/>
    </row>
    <row r="148" spans="1:11" x14ac:dyDescent="0.25">
      <c r="A148" s="72" t="s">
        <v>319</v>
      </c>
      <c r="B148" s="5" t="s">
        <v>686</v>
      </c>
      <c r="D148" s="31">
        <v>46388</v>
      </c>
      <c r="E148" s="7">
        <v>0.1028</v>
      </c>
      <c r="F148" s="105"/>
      <c r="G148" s="90"/>
    </row>
    <row r="149" spans="1:11" x14ac:dyDescent="0.25">
      <c r="A149" s="72" t="s">
        <v>319</v>
      </c>
      <c r="B149" s="5" t="s">
        <v>818</v>
      </c>
      <c r="D149" s="31">
        <v>46388</v>
      </c>
      <c r="E149" s="7">
        <v>0.12670000000000001</v>
      </c>
      <c r="F149" s="105"/>
      <c r="G149" s="90"/>
    </row>
    <row r="150" spans="1:11" x14ac:dyDescent="0.25">
      <c r="A150" s="72" t="s">
        <v>319</v>
      </c>
      <c r="B150" s="5" t="s">
        <v>812</v>
      </c>
      <c r="D150" s="31">
        <v>46388</v>
      </c>
      <c r="E150" s="7">
        <v>0.25609999999999999</v>
      </c>
      <c r="F150" s="105"/>
      <c r="G150" s="90"/>
    </row>
    <row r="151" spans="1:11" x14ac:dyDescent="0.25">
      <c r="A151" s="72" t="s">
        <v>319</v>
      </c>
      <c r="B151" s="5" t="s">
        <v>687</v>
      </c>
      <c r="D151" s="31">
        <v>46388</v>
      </c>
      <c r="E151" s="7">
        <v>0.15909999999999999</v>
      </c>
      <c r="F151" s="105"/>
      <c r="G151" s="90"/>
    </row>
    <row r="152" spans="1:11" x14ac:dyDescent="0.25">
      <c r="A152" s="73" t="s">
        <v>319</v>
      </c>
      <c r="B152" s="10" t="s">
        <v>780</v>
      </c>
      <c r="C152" s="63"/>
      <c r="D152" s="40">
        <v>46388</v>
      </c>
      <c r="E152" s="12">
        <v>0.1651</v>
      </c>
      <c r="F152" s="106"/>
      <c r="G152" s="91"/>
      <c r="H152" s="63"/>
      <c r="I152" s="63"/>
      <c r="J152" s="63"/>
      <c r="K152" s="63"/>
    </row>
    <row r="153" spans="1:11" x14ac:dyDescent="0.25">
      <c r="A153" s="69" t="s">
        <v>333</v>
      </c>
      <c r="B153" s="5" t="s">
        <v>819</v>
      </c>
      <c r="D153" s="31">
        <v>46388</v>
      </c>
      <c r="E153" s="7">
        <v>0.21579999999999999</v>
      </c>
      <c r="F153" s="107">
        <f>AVERAGE(E153:E154)</f>
        <v>0.24625</v>
      </c>
      <c r="G153" s="90"/>
    </row>
    <row r="154" spans="1:11" x14ac:dyDescent="0.25">
      <c r="A154" s="70" t="s">
        <v>333</v>
      </c>
      <c r="B154" s="10" t="s">
        <v>751</v>
      </c>
      <c r="C154" s="63"/>
      <c r="D154" s="40">
        <v>46388</v>
      </c>
      <c r="E154" s="12">
        <v>0.2767</v>
      </c>
      <c r="F154" s="106"/>
      <c r="G154" s="91"/>
      <c r="H154" s="63"/>
      <c r="I154" s="63"/>
      <c r="J154" s="63"/>
      <c r="K154" s="63"/>
    </row>
    <row r="155" spans="1:11" x14ac:dyDescent="0.25">
      <c r="A155" s="72" t="s">
        <v>339</v>
      </c>
      <c r="B155" s="5" t="s">
        <v>768</v>
      </c>
      <c r="D155" s="31">
        <v>46388</v>
      </c>
      <c r="E155" s="7">
        <v>0.1331</v>
      </c>
      <c r="F155" s="107">
        <f>AVERAGE(E155:E160)</f>
        <v>0.14149999999999999</v>
      </c>
      <c r="G155" s="90"/>
    </row>
    <row r="156" spans="1:11" x14ac:dyDescent="0.25">
      <c r="A156" s="72" t="s">
        <v>339</v>
      </c>
      <c r="B156" s="5" t="s">
        <v>820</v>
      </c>
      <c r="D156" s="31">
        <v>46388</v>
      </c>
      <c r="E156" s="7">
        <v>0.1353</v>
      </c>
      <c r="F156" s="105"/>
      <c r="G156" s="90"/>
    </row>
    <row r="157" spans="1:11" x14ac:dyDescent="0.25">
      <c r="A157" s="72" t="s">
        <v>339</v>
      </c>
      <c r="B157" s="5" t="s">
        <v>686</v>
      </c>
      <c r="D157" s="31">
        <v>46388</v>
      </c>
      <c r="E157" s="7">
        <v>0.1235</v>
      </c>
      <c r="F157" s="105"/>
      <c r="G157" s="90"/>
    </row>
    <row r="158" spans="1:11" x14ac:dyDescent="0.25">
      <c r="A158" s="72" t="s">
        <v>339</v>
      </c>
      <c r="B158" s="5" t="s">
        <v>812</v>
      </c>
      <c r="D158" s="31">
        <v>46388</v>
      </c>
      <c r="E158" s="7">
        <v>0.19689999999999999</v>
      </c>
      <c r="F158" s="105"/>
      <c r="G158" s="90"/>
    </row>
    <row r="159" spans="1:11" x14ac:dyDescent="0.25">
      <c r="A159" s="72" t="s">
        <v>339</v>
      </c>
      <c r="B159" s="5" t="s">
        <v>687</v>
      </c>
      <c r="D159" s="31">
        <v>46388</v>
      </c>
      <c r="E159" s="7">
        <v>8.5800000000000001E-2</v>
      </c>
      <c r="F159" s="105"/>
      <c r="G159" s="90"/>
    </row>
    <row r="160" spans="1:11" x14ac:dyDescent="0.25">
      <c r="A160" s="73" t="s">
        <v>339</v>
      </c>
      <c r="B160" s="10" t="s">
        <v>780</v>
      </c>
      <c r="C160" s="63"/>
      <c r="D160" s="40">
        <v>46388</v>
      </c>
      <c r="E160" s="12">
        <v>0.1744</v>
      </c>
      <c r="F160" s="106"/>
      <c r="G160" s="91"/>
      <c r="H160" s="63"/>
      <c r="I160" s="63"/>
      <c r="J160" s="63"/>
      <c r="K160" s="63"/>
    </row>
    <row r="161" spans="1:11" x14ac:dyDescent="0.25">
      <c r="A161" s="72" t="s">
        <v>345</v>
      </c>
      <c r="B161" s="5" t="s">
        <v>821</v>
      </c>
      <c r="D161" s="31">
        <v>46388</v>
      </c>
      <c r="E161" s="7">
        <v>0.25700000000000001</v>
      </c>
      <c r="F161" s="107">
        <f>AVERAGE(E161:E172)</f>
        <v>0.13833333333333331</v>
      </c>
      <c r="G161" s="90"/>
    </row>
    <row r="162" spans="1:11" x14ac:dyDescent="0.25">
      <c r="A162" s="72" t="s">
        <v>345</v>
      </c>
      <c r="B162" s="5" t="s">
        <v>822</v>
      </c>
      <c r="D162" s="31">
        <v>46388</v>
      </c>
      <c r="E162" s="7">
        <v>9.11E-2</v>
      </c>
      <c r="F162" s="105"/>
      <c r="G162" s="90"/>
    </row>
    <row r="163" spans="1:11" x14ac:dyDescent="0.25">
      <c r="A163" s="72" t="s">
        <v>345</v>
      </c>
      <c r="B163" s="5" t="s">
        <v>823</v>
      </c>
      <c r="D163" s="31">
        <v>46388</v>
      </c>
      <c r="E163" s="7">
        <v>0.21729999999999999</v>
      </c>
      <c r="F163" s="105"/>
      <c r="G163" s="90"/>
    </row>
    <row r="164" spans="1:11" x14ac:dyDescent="0.25">
      <c r="A164" s="72" t="s">
        <v>345</v>
      </c>
      <c r="B164" s="5" t="s">
        <v>824</v>
      </c>
      <c r="D164" s="31">
        <v>46388</v>
      </c>
      <c r="E164" s="7">
        <v>3.8300000000000001E-2</v>
      </c>
      <c r="F164" s="105"/>
      <c r="G164" s="90"/>
    </row>
    <row r="165" spans="1:11" x14ac:dyDescent="0.25">
      <c r="A165" s="72" t="s">
        <v>345</v>
      </c>
      <c r="B165" s="5" t="s">
        <v>825</v>
      </c>
      <c r="D165" s="31">
        <v>46388</v>
      </c>
      <c r="E165" s="7">
        <v>3.1300000000000001E-2</v>
      </c>
      <c r="F165" s="105"/>
      <c r="G165" s="90"/>
    </row>
    <row r="166" spans="1:11" x14ac:dyDescent="0.25">
      <c r="A166" s="72" t="s">
        <v>345</v>
      </c>
      <c r="B166" s="5" t="s">
        <v>826</v>
      </c>
      <c r="D166" s="31">
        <v>46388</v>
      </c>
      <c r="E166" s="7">
        <v>3.9100000000000003E-2</v>
      </c>
      <c r="F166" s="105"/>
      <c r="G166" s="90"/>
    </row>
    <row r="167" spans="1:11" x14ac:dyDescent="0.25">
      <c r="A167" s="72" t="s">
        <v>345</v>
      </c>
      <c r="B167" s="5" t="s">
        <v>31</v>
      </c>
      <c r="D167" s="31">
        <v>46388</v>
      </c>
      <c r="E167" s="7">
        <v>0.26889999999999997</v>
      </c>
      <c r="F167" s="105"/>
      <c r="G167" s="90"/>
    </row>
    <row r="168" spans="1:11" x14ac:dyDescent="0.25">
      <c r="A168" s="72" t="s">
        <v>345</v>
      </c>
      <c r="B168" s="5" t="s">
        <v>827</v>
      </c>
      <c r="D168" s="31">
        <v>46388</v>
      </c>
      <c r="E168" s="7">
        <v>0.21879999999999999</v>
      </c>
      <c r="F168" s="105"/>
      <c r="G168" s="90"/>
    </row>
    <row r="169" spans="1:11" x14ac:dyDescent="0.25">
      <c r="A169" s="72" t="s">
        <v>345</v>
      </c>
      <c r="B169" s="5" t="s">
        <v>828</v>
      </c>
      <c r="D169" s="31">
        <v>46388</v>
      </c>
      <c r="E169" s="7">
        <v>-2.7900000000000001E-2</v>
      </c>
      <c r="F169" s="105"/>
      <c r="G169" s="90"/>
    </row>
    <row r="170" spans="1:11" x14ac:dyDescent="0.25">
      <c r="A170" s="72" t="s">
        <v>345</v>
      </c>
      <c r="B170" s="5" t="s">
        <v>829</v>
      </c>
      <c r="D170" s="31">
        <v>46388</v>
      </c>
      <c r="E170" s="7">
        <v>0.1943</v>
      </c>
      <c r="F170" s="105"/>
      <c r="G170" s="90"/>
    </row>
    <row r="171" spans="1:11" x14ac:dyDescent="0.25">
      <c r="A171" s="72" t="s">
        <v>345</v>
      </c>
      <c r="B171" s="5" t="s">
        <v>830</v>
      </c>
      <c r="D171" s="31">
        <v>46388</v>
      </c>
      <c r="E171" s="7">
        <v>0.12989999999999999</v>
      </c>
      <c r="F171" s="105"/>
      <c r="G171" s="90"/>
    </row>
    <row r="172" spans="1:11" x14ac:dyDescent="0.25">
      <c r="A172" s="73" t="s">
        <v>345</v>
      </c>
      <c r="B172" s="10" t="s">
        <v>831</v>
      </c>
      <c r="C172" s="63"/>
      <c r="D172" s="40">
        <v>46388</v>
      </c>
      <c r="E172" s="12">
        <v>0.2019</v>
      </c>
      <c r="F172" s="106"/>
      <c r="G172" s="91"/>
      <c r="H172" s="63"/>
      <c r="I172" s="63"/>
      <c r="J172" s="63"/>
      <c r="K172" s="63"/>
    </row>
    <row r="173" spans="1:11" x14ac:dyDescent="0.25">
      <c r="A173" s="69" t="s">
        <v>365</v>
      </c>
      <c r="B173" s="5" t="s">
        <v>832</v>
      </c>
      <c r="D173" s="31">
        <v>46388</v>
      </c>
      <c r="E173" s="7">
        <v>0.15140000000000001</v>
      </c>
      <c r="F173" s="107">
        <f>AVERAGE(E173:E176)</f>
        <v>0.16375000000000001</v>
      </c>
      <c r="G173" s="90"/>
    </row>
    <row r="174" spans="1:11" x14ac:dyDescent="0.25">
      <c r="A174" s="69" t="s">
        <v>365</v>
      </c>
      <c r="B174" s="5" t="s">
        <v>833</v>
      </c>
      <c r="D174" s="31">
        <v>46388</v>
      </c>
      <c r="E174" s="7">
        <v>0.2155</v>
      </c>
      <c r="F174" s="105"/>
      <c r="G174" s="90"/>
    </row>
    <row r="175" spans="1:11" x14ac:dyDescent="0.25">
      <c r="A175" s="69" t="s">
        <v>365</v>
      </c>
      <c r="B175" s="5" t="s">
        <v>834</v>
      </c>
      <c r="D175" s="31">
        <v>46388</v>
      </c>
      <c r="E175" s="7">
        <v>0.1069</v>
      </c>
      <c r="F175" s="105"/>
      <c r="G175" s="90"/>
    </row>
    <row r="176" spans="1:11" x14ac:dyDescent="0.25">
      <c r="A176" s="70" t="s">
        <v>365</v>
      </c>
      <c r="B176" s="10" t="s">
        <v>835</v>
      </c>
      <c r="C176" s="63"/>
      <c r="D176" s="40">
        <v>46388</v>
      </c>
      <c r="E176" s="12">
        <v>0.1812</v>
      </c>
      <c r="F176" s="106"/>
      <c r="G176" s="91"/>
      <c r="H176" s="63"/>
      <c r="I176" s="63"/>
      <c r="J176" s="63"/>
      <c r="K176" s="63"/>
    </row>
    <row r="177" spans="1:11" x14ac:dyDescent="0.25">
      <c r="A177" s="69" t="s">
        <v>374</v>
      </c>
      <c r="B177" s="5" t="s">
        <v>836</v>
      </c>
      <c r="D177" s="31">
        <v>46388</v>
      </c>
      <c r="E177" s="7">
        <v>0.182</v>
      </c>
      <c r="F177" s="107">
        <f>AVERAGE(E177:E183)</f>
        <v>0.23622857142857143</v>
      </c>
      <c r="G177" s="90"/>
    </row>
    <row r="178" spans="1:11" x14ac:dyDescent="0.25">
      <c r="A178" s="69" t="s">
        <v>374</v>
      </c>
      <c r="B178" s="5" t="s">
        <v>837</v>
      </c>
      <c r="D178" s="31">
        <v>46388</v>
      </c>
      <c r="E178" s="7">
        <v>0.17</v>
      </c>
      <c r="F178" s="105"/>
      <c r="G178" s="90"/>
    </row>
    <row r="179" spans="1:11" x14ac:dyDescent="0.25">
      <c r="A179" s="69" t="s">
        <v>374</v>
      </c>
      <c r="B179" s="5" t="s">
        <v>838</v>
      </c>
      <c r="D179" s="31">
        <v>46388</v>
      </c>
      <c r="E179" s="7">
        <v>0.15359999999999999</v>
      </c>
      <c r="F179" s="105"/>
      <c r="G179" s="90"/>
    </row>
    <row r="180" spans="1:11" x14ac:dyDescent="0.25">
      <c r="A180" s="69" t="s">
        <v>374</v>
      </c>
      <c r="B180" s="5" t="s">
        <v>839</v>
      </c>
      <c r="D180" s="31">
        <v>46388</v>
      </c>
      <c r="E180" s="7">
        <v>0.29339999999999999</v>
      </c>
      <c r="F180" s="105"/>
      <c r="G180" s="90"/>
    </row>
    <row r="181" spans="1:11" x14ac:dyDescent="0.25">
      <c r="A181" s="69" t="s">
        <v>374</v>
      </c>
      <c r="B181" s="5" t="s">
        <v>780</v>
      </c>
      <c r="D181" s="31">
        <v>46388</v>
      </c>
      <c r="E181" s="7">
        <v>0.35649999999999998</v>
      </c>
      <c r="F181" s="105"/>
      <c r="G181" s="90"/>
    </row>
    <row r="182" spans="1:11" x14ac:dyDescent="0.25">
      <c r="A182" s="70" t="s">
        <v>374</v>
      </c>
      <c r="B182" s="10" t="s">
        <v>840</v>
      </c>
      <c r="C182" s="63"/>
      <c r="D182" s="40">
        <v>46388</v>
      </c>
      <c r="E182" s="12">
        <v>0.20760000000000001</v>
      </c>
      <c r="F182" s="106"/>
      <c r="G182" s="91"/>
      <c r="H182" s="63"/>
      <c r="I182" s="63"/>
      <c r="J182" s="63"/>
      <c r="K182" s="63"/>
    </row>
    <row r="183" spans="1:11" x14ac:dyDescent="0.25">
      <c r="A183" s="69" t="s">
        <v>386</v>
      </c>
      <c r="B183" s="5" t="s">
        <v>841</v>
      </c>
      <c r="D183" s="31">
        <v>46388</v>
      </c>
      <c r="E183" s="7">
        <v>0.29049999999999998</v>
      </c>
      <c r="F183" s="107">
        <f>AVERAGE(E183:E186)</f>
        <v>0.24427499999999999</v>
      </c>
      <c r="G183" s="90"/>
    </row>
    <row r="184" spans="1:11" x14ac:dyDescent="0.25">
      <c r="A184" s="69" t="s">
        <v>386</v>
      </c>
      <c r="B184" s="5" t="s">
        <v>842</v>
      </c>
      <c r="D184" s="31">
        <v>46388</v>
      </c>
      <c r="E184" s="7">
        <v>0.30399999999999999</v>
      </c>
      <c r="F184" s="105"/>
      <c r="G184" s="90"/>
    </row>
    <row r="185" spans="1:11" x14ac:dyDescent="0.25">
      <c r="A185" s="69" t="s">
        <v>386</v>
      </c>
      <c r="B185" s="5" t="s">
        <v>843</v>
      </c>
      <c r="D185" s="31">
        <v>46388</v>
      </c>
      <c r="E185" s="7">
        <v>0.1457</v>
      </c>
      <c r="F185" s="105"/>
      <c r="G185" s="90"/>
    </row>
    <row r="186" spans="1:11" x14ac:dyDescent="0.25">
      <c r="A186" s="70" t="s">
        <v>386</v>
      </c>
      <c r="B186" s="10" t="s">
        <v>844</v>
      </c>
      <c r="C186" s="63"/>
      <c r="D186" s="40">
        <v>46388</v>
      </c>
      <c r="E186" s="12">
        <v>0.2369</v>
      </c>
      <c r="F186" s="106"/>
      <c r="G186" s="91"/>
      <c r="H186" s="63"/>
      <c r="I186" s="63"/>
      <c r="J186" s="63"/>
      <c r="K186" s="63"/>
    </row>
    <row r="187" spans="1:11" x14ac:dyDescent="0.25">
      <c r="A187" s="69" t="s">
        <v>845</v>
      </c>
      <c r="B187" s="5" t="s">
        <v>846</v>
      </c>
      <c r="D187" s="31">
        <v>46388</v>
      </c>
      <c r="E187" s="7">
        <v>0.113</v>
      </c>
      <c r="F187" s="105">
        <v>0.20130000000000001</v>
      </c>
      <c r="G187" s="105">
        <v>0.21049999999999999</v>
      </c>
    </row>
    <row r="188" spans="1:11" x14ac:dyDescent="0.25">
      <c r="A188" s="69" t="s">
        <v>845</v>
      </c>
      <c r="B188" s="5" t="s">
        <v>847</v>
      </c>
      <c r="D188" s="31">
        <v>46388</v>
      </c>
      <c r="E188" s="7">
        <v>1.4E-2</v>
      </c>
      <c r="F188" s="105"/>
      <c r="G188" s="105"/>
    </row>
    <row r="189" spans="1:11" x14ac:dyDescent="0.25">
      <c r="A189" s="69" t="s">
        <v>845</v>
      </c>
      <c r="B189" s="5" t="s">
        <v>848</v>
      </c>
      <c r="D189" s="31">
        <v>46388</v>
      </c>
      <c r="E189" s="7">
        <v>0.26800000000000002</v>
      </c>
      <c r="F189" s="105"/>
      <c r="G189" s="105"/>
    </row>
    <row r="190" spans="1:11" x14ac:dyDescent="0.25">
      <c r="A190" s="69" t="s">
        <v>845</v>
      </c>
      <c r="B190" s="5" t="s">
        <v>402</v>
      </c>
      <c r="D190" s="31">
        <v>46388</v>
      </c>
      <c r="E190" s="7">
        <v>0.17199999999999999</v>
      </c>
      <c r="F190" s="105"/>
      <c r="G190" s="105"/>
    </row>
    <row r="191" spans="1:11" x14ac:dyDescent="0.25">
      <c r="A191" s="69" t="s">
        <v>845</v>
      </c>
      <c r="B191" s="5" t="s">
        <v>849</v>
      </c>
      <c r="D191" s="31">
        <v>46388</v>
      </c>
      <c r="E191" s="7">
        <v>0.28399999999999997</v>
      </c>
      <c r="F191" s="105"/>
      <c r="G191" s="105"/>
    </row>
    <row r="192" spans="1:11" x14ac:dyDescent="0.25">
      <c r="A192" s="69" t="s">
        <v>845</v>
      </c>
      <c r="B192" s="5" t="s">
        <v>850</v>
      </c>
      <c r="D192" s="31">
        <v>46388</v>
      </c>
      <c r="E192" s="7">
        <v>0.14899999999999999</v>
      </c>
      <c r="F192" s="105"/>
      <c r="G192" s="105"/>
    </row>
    <row r="193" spans="1:11" x14ac:dyDescent="0.25">
      <c r="A193" s="69" t="s">
        <v>845</v>
      </c>
      <c r="B193" s="5" t="s">
        <v>851</v>
      </c>
      <c r="D193" s="31">
        <v>46388</v>
      </c>
      <c r="E193" s="7">
        <v>0.23799999999999999</v>
      </c>
      <c r="F193" s="105"/>
      <c r="G193" s="105"/>
    </row>
    <row r="194" spans="1:11" x14ac:dyDescent="0.25">
      <c r="A194" s="69" t="s">
        <v>845</v>
      </c>
      <c r="B194" s="5" t="s">
        <v>852</v>
      </c>
      <c r="D194" s="31">
        <v>46388</v>
      </c>
      <c r="E194" s="7">
        <v>0.14199999999999999</v>
      </c>
      <c r="F194" s="105"/>
      <c r="G194" s="105"/>
    </row>
    <row r="195" spans="1:11" x14ac:dyDescent="0.25">
      <c r="A195" s="69" t="s">
        <v>845</v>
      </c>
      <c r="B195" s="5" t="s">
        <v>853</v>
      </c>
      <c r="D195" s="31">
        <v>46388</v>
      </c>
      <c r="E195" s="7">
        <v>0.17</v>
      </c>
      <c r="F195" s="105"/>
      <c r="G195" s="105"/>
    </row>
    <row r="196" spans="1:11" x14ac:dyDescent="0.25">
      <c r="A196" s="69" t="s">
        <v>845</v>
      </c>
      <c r="B196" s="5" t="s">
        <v>854</v>
      </c>
      <c r="D196" s="31">
        <v>46388</v>
      </c>
      <c r="E196" s="7">
        <v>0.107</v>
      </c>
      <c r="F196" s="105"/>
      <c r="G196" s="105"/>
    </row>
    <row r="197" spans="1:11" x14ac:dyDescent="0.25">
      <c r="A197" s="69" t="s">
        <v>845</v>
      </c>
      <c r="B197" s="5" t="s">
        <v>855</v>
      </c>
      <c r="D197" s="31">
        <v>46388</v>
      </c>
      <c r="E197" s="7">
        <v>0.23799999999999999</v>
      </c>
      <c r="F197" s="105"/>
      <c r="G197" s="105"/>
    </row>
    <row r="198" spans="1:11" x14ac:dyDescent="0.25">
      <c r="A198" s="70" t="s">
        <v>845</v>
      </c>
      <c r="B198" s="10" t="s">
        <v>856</v>
      </c>
      <c r="C198" s="63"/>
      <c r="D198" s="40">
        <v>46388</v>
      </c>
      <c r="E198" s="12">
        <v>0.52100000000000002</v>
      </c>
      <c r="F198" s="106"/>
      <c r="G198" s="106"/>
      <c r="H198" s="63"/>
      <c r="I198" s="63"/>
      <c r="J198" s="63"/>
      <c r="K198" s="63"/>
    </row>
    <row r="199" spans="1:11" x14ac:dyDescent="0.25">
      <c r="A199" s="69" t="s">
        <v>423</v>
      </c>
      <c r="B199" s="5" t="s">
        <v>857</v>
      </c>
      <c r="D199" s="31">
        <v>46388</v>
      </c>
      <c r="E199" s="7">
        <v>8.5000000000000006E-2</v>
      </c>
      <c r="F199" s="107">
        <f>AVERAGE(E199:E203)</f>
        <v>0.15868000000000002</v>
      </c>
      <c r="G199" s="90"/>
    </row>
    <row r="200" spans="1:11" x14ac:dyDescent="0.25">
      <c r="A200" s="69" t="s">
        <v>423</v>
      </c>
      <c r="B200" s="5" t="s">
        <v>858</v>
      </c>
      <c r="D200" s="31">
        <v>46388</v>
      </c>
      <c r="E200" s="7">
        <v>9.2600000000000002E-2</v>
      </c>
      <c r="F200" s="105"/>
      <c r="G200" s="90"/>
    </row>
    <row r="201" spans="1:11" x14ac:dyDescent="0.25">
      <c r="A201" s="69" t="s">
        <v>423</v>
      </c>
      <c r="B201" s="5" t="s">
        <v>859</v>
      </c>
      <c r="D201" s="31">
        <v>46388</v>
      </c>
      <c r="E201" s="7">
        <v>0.1769</v>
      </c>
      <c r="F201" s="105"/>
      <c r="G201" s="90"/>
    </row>
    <row r="202" spans="1:11" x14ac:dyDescent="0.25">
      <c r="A202" s="69" t="s">
        <v>423</v>
      </c>
      <c r="B202" s="5" t="s">
        <v>860</v>
      </c>
      <c r="D202" s="31">
        <v>46388</v>
      </c>
      <c r="E202" s="7">
        <v>0.1648</v>
      </c>
      <c r="F202" s="105"/>
      <c r="G202" s="90"/>
    </row>
    <row r="203" spans="1:11" x14ac:dyDescent="0.25">
      <c r="A203" s="70" t="s">
        <v>423</v>
      </c>
      <c r="B203" s="10" t="s">
        <v>861</v>
      </c>
      <c r="C203" s="63"/>
      <c r="D203" s="40">
        <v>46388</v>
      </c>
      <c r="E203" s="12">
        <v>0.27410000000000001</v>
      </c>
      <c r="F203" s="106"/>
      <c r="G203" s="91"/>
      <c r="H203" s="63"/>
      <c r="I203" s="63"/>
      <c r="J203" s="63"/>
      <c r="K203" s="63"/>
    </row>
    <row r="204" spans="1:11" x14ac:dyDescent="0.25">
      <c r="A204" s="72" t="s">
        <v>438</v>
      </c>
      <c r="B204" s="5" t="s">
        <v>862</v>
      </c>
      <c r="D204" s="31">
        <v>46388</v>
      </c>
      <c r="E204" s="7">
        <v>0.21379999999999999</v>
      </c>
      <c r="F204" s="107">
        <f>AVERAGE(E204:E206)</f>
        <v>0.14179999999999998</v>
      </c>
      <c r="G204" s="90"/>
    </row>
    <row r="205" spans="1:11" x14ac:dyDescent="0.25">
      <c r="A205" s="72" t="s">
        <v>438</v>
      </c>
      <c r="B205" s="5" t="s">
        <v>863</v>
      </c>
      <c r="D205" s="31">
        <v>46388</v>
      </c>
      <c r="E205" s="7">
        <v>0.13639999999999999</v>
      </c>
      <c r="F205" s="105"/>
      <c r="G205" s="90"/>
    </row>
    <row r="206" spans="1:11" x14ac:dyDescent="0.25">
      <c r="A206" s="73" t="s">
        <v>438</v>
      </c>
      <c r="B206" s="10" t="s">
        <v>864</v>
      </c>
      <c r="C206" s="63"/>
      <c r="D206" s="40">
        <v>46388</v>
      </c>
      <c r="E206" s="12">
        <v>7.5200000000000003E-2</v>
      </c>
      <c r="F206" s="106"/>
      <c r="G206" s="91"/>
      <c r="H206" s="63"/>
      <c r="I206" s="63"/>
      <c r="J206" s="63"/>
      <c r="K206" s="63"/>
    </row>
    <row r="207" spans="1:11" x14ac:dyDescent="0.25">
      <c r="A207" s="72" t="s">
        <v>445</v>
      </c>
      <c r="B207" s="5" t="s">
        <v>865</v>
      </c>
      <c r="D207" s="31">
        <v>46388</v>
      </c>
      <c r="E207" s="7">
        <v>0.15809999999999999</v>
      </c>
      <c r="F207" s="107">
        <f>AVERAGE(E207:E217)</f>
        <v>0.14274545454545454</v>
      </c>
      <c r="G207" s="90"/>
    </row>
    <row r="208" spans="1:11" x14ac:dyDescent="0.25">
      <c r="A208" s="72" t="s">
        <v>445</v>
      </c>
      <c r="B208" s="5" t="s">
        <v>866</v>
      </c>
      <c r="D208" s="31">
        <v>46388</v>
      </c>
      <c r="E208" s="7">
        <v>9.4899999999999998E-2</v>
      </c>
      <c r="F208" s="105"/>
      <c r="G208" s="90"/>
    </row>
    <row r="209" spans="1:11" x14ac:dyDescent="0.25">
      <c r="A209" s="72" t="s">
        <v>445</v>
      </c>
      <c r="B209" s="5" t="s">
        <v>867</v>
      </c>
      <c r="D209" s="31">
        <v>46388</v>
      </c>
      <c r="E209" s="7">
        <v>0.1118</v>
      </c>
      <c r="F209" s="105"/>
      <c r="G209" s="90"/>
    </row>
    <row r="210" spans="1:11" x14ac:dyDescent="0.25">
      <c r="A210" s="72" t="s">
        <v>445</v>
      </c>
      <c r="B210" s="5" t="s">
        <v>868</v>
      </c>
      <c r="D210" s="31">
        <v>46388</v>
      </c>
      <c r="E210" s="7">
        <v>0.16200000000000001</v>
      </c>
      <c r="F210" s="105"/>
      <c r="G210" s="90"/>
    </row>
    <row r="211" spans="1:11" x14ac:dyDescent="0.25">
      <c r="A211" s="72" t="s">
        <v>445</v>
      </c>
      <c r="B211" s="5" t="s">
        <v>869</v>
      </c>
      <c r="D211" s="31">
        <v>46388</v>
      </c>
      <c r="E211" s="7">
        <v>0.2157</v>
      </c>
      <c r="F211" s="105"/>
      <c r="G211" s="90"/>
    </row>
    <row r="212" spans="1:11" x14ac:dyDescent="0.25">
      <c r="A212" s="72" t="s">
        <v>445</v>
      </c>
      <c r="B212" s="5" t="s">
        <v>870</v>
      </c>
      <c r="D212" s="31">
        <v>46388</v>
      </c>
      <c r="E212" s="7">
        <v>0.19489999999999999</v>
      </c>
      <c r="F212" s="105"/>
      <c r="G212" s="90"/>
    </row>
    <row r="213" spans="1:11" x14ac:dyDescent="0.25">
      <c r="A213" s="72" t="s">
        <v>445</v>
      </c>
      <c r="B213" s="5" t="s">
        <v>871</v>
      </c>
      <c r="D213" s="31">
        <v>46388</v>
      </c>
      <c r="E213" s="7">
        <v>0.17960000000000001</v>
      </c>
      <c r="F213" s="105"/>
      <c r="G213" s="90"/>
    </row>
    <row r="214" spans="1:11" x14ac:dyDescent="0.25">
      <c r="A214" s="72" t="s">
        <v>445</v>
      </c>
      <c r="B214" s="5" t="s">
        <v>872</v>
      </c>
      <c r="D214" s="31">
        <v>46388</v>
      </c>
      <c r="E214" s="7">
        <v>-1.46E-2</v>
      </c>
      <c r="F214" s="105"/>
      <c r="G214" s="90"/>
    </row>
    <row r="215" spans="1:11" x14ac:dyDescent="0.25">
      <c r="A215" s="72" t="s">
        <v>445</v>
      </c>
      <c r="B215" s="5" t="s">
        <v>873</v>
      </c>
      <c r="D215" s="31">
        <v>46388</v>
      </c>
      <c r="E215" s="7">
        <v>0.1041</v>
      </c>
      <c r="F215" s="105"/>
      <c r="G215" s="90"/>
    </row>
    <row r="216" spans="1:11" x14ac:dyDescent="0.25">
      <c r="A216" s="72" t="s">
        <v>445</v>
      </c>
      <c r="B216" s="5" t="s">
        <v>874</v>
      </c>
      <c r="D216" s="31">
        <v>46388</v>
      </c>
      <c r="E216" s="7">
        <v>0.1229</v>
      </c>
      <c r="F216" s="105"/>
      <c r="G216" s="90"/>
    </row>
    <row r="217" spans="1:11" x14ac:dyDescent="0.25">
      <c r="A217" s="73" t="s">
        <v>445</v>
      </c>
      <c r="B217" s="10" t="s">
        <v>875</v>
      </c>
      <c r="C217" s="63"/>
      <c r="D217" s="40">
        <v>46388</v>
      </c>
      <c r="E217" s="12">
        <v>0.24079999999999999</v>
      </c>
      <c r="F217" s="106"/>
      <c r="G217" s="91"/>
      <c r="H217" s="63"/>
      <c r="I217" s="63"/>
      <c r="J217" s="63"/>
      <c r="K217" s="63"/>
    </row>
    <row r="218" spans="1:11" x14ac:dyDescent="0.25">
      <c r="A218" s="69" t="s">
        <v>472</v>
      </c>
      <c r="B218" s="5" t="s">
        <v>768</v>
      </c>
      <c r="D218" s="31">
        <v>46388</v>
      </c>
      <c r="E218" s="7">
        <v>0.21990000000000001</v>
      </c>
      <c r="F218" s="107">
        <f>AVERAGE(E218:E223)</f>
        <v>0.21909999999999999</v>
      </c>
      <c r="G218" s="90"/>
    </row>
    <row r="219" spans="1:11" x14ac:dyDescent="0.25">
      <c r="A219" s="69" t="s">
        <v>472</v>
      </c>
      <c r="B219" s="5" t="s">
        <v>876</v>
      </c>
      <c r="D219" s="31">
        <v>46388</v>
      </c>
      <c r="E219" s="7">
        <v>0.12839999999999999</v>
      </c>
      <c r="F219" s="105"/>
      <c r="G219" s="90"/>
    </row>
    <row r="220" spans="1:11" x14ac:dyDescent="0.25">
      <c r="A220" s="69" t="s">
        <v>472</v>
      </c>
      <c r="B220" s="5" t="s">
        <v>686</v>
      </c>
      <c r="D220" s="31">
        <v>46388</v>
      </c>
      <c r="E220" s="7">
        <v>0.28989999999999999</v>
      </c>
      <c r="F220" s="105"/>
      <c r="G220" s="90"/>
    </row>
    <row r="221" spans="1:11" x14ac:dyDescent="0.25">
      <c r="A221" s="69" t="s">
        <v>472</v>
      </c>
      <c r="B221" s="5" t="s">
        <v>877</v>
      </c>
      <c r="D221" s="31">
        <v>46388</v>
      </c>
      <c r="E221" s="7">
        <v>0.2412</v>
      </c>
      <c r="F221" s="105"/>
      <c r="G221" s="90"/>
    </row>
    <row r="222" spans="1:11" x14ac:dyDescent="0.25">
      <c r="A222" s="69" t="s">
        <v>472</v>
      </c>
      <c r="B222" s="5" t="s">
        <v>687</v>
      </c>
      <c r="D222" s="31">
        <v>46388</v>
      </c>
      <c r="E222" s="7">
        <v>0.13059999999999999</v>
      </c>
      <c r="F222" s="105"/>
      <c r="G222" s="90"/>
    </row>
    <row r="223" spans="1:11" x14ac:dyDescent="0.25">
      <c r="A223" s="70" t="s">
        <v>472</v>
      </c>
      <c r="B223" s="10" t="s">
        <v>878</v>
      </c>
      <c r="C223" s="63"/>
      <c r="D223" s="40">
        <v>46388</v>
      </c>
      <c r="E223" s="12">
        <v>0.30459999999999998</v>
      </c>
      <c r="F223" s="106"/>
      <c r="G223" s="91"/>
      <c r="H223" s="63"/>
      <c r="I223" s="63"/>
      <c r="J223" s="63"/>
      <c r="K223" s="63"/>
    </row>
    <row r="224" spans="1:11" x14ac:dyDescent="0.25">
      <c r="A224" s="69" t="s">
        <v>484</v>
      </c>
      <c r="B224" s="5" t="s">
        <v>879</v>
      </c>
      <c r="D224" s="31">
        <v>46388</v>
      </c>
      <c r="E224" s="7">
        <v>0.11700000000000001</v>
      </c>
      <c r="F224" s="105">
        <v>0.15279999999999999</v>
      </c>
      <c r="G224" s="105">
        <v>0.1719</v>
      </c>
    </row>
    <row r="225" spans="1:11" x14ac:dyDescent="0.25">
      <c r="A225" s="69" t="s">
        <v>484</v>
      </c>
      <c r="B225" s="5" t="s">
        <v>880</v>
      </c>
      <c r="D225" s="31">
        <v>46388</v>
      </c>
      <c r="E225" s="7">
        <v>0.122</v>
      </c>
      <c r="F225" s="105"/>
      <c r="G225" s="105"/>
    </row>
    <row r="226" spans="1:11" x14ac:dyDescent="0.25">
      <c r="A226" s="69" t="s">
        <v>484</v>
      </c>
      <c r="B226" s="5" t="s">
        <v>749</v>
      </c>
      <c r="D226" s="31">
        <v>46388</v>
      </c>
      <c r="E226" s="7">
        <v>0.25</v>
      </c>
      <c r="F226" s="105"/>
      <c r="G226" s="105"/>
    </row>
    <row r="227" spans="1:11" x14ac:dyDescent="0.25">
      <c r="A227" s="70" t="s">
        <v>484</v>
      </c>
      <c r="B227" s="10" t="s">
        <v>881</v>
      </c>
      <c r="C227" s="63"/>
      <c r="D227" s="40">
        <v>46388</v>
      </c>
      <c r="E227" s="12">
        <v>0.122</v>
      </c>
      <c r="F227" s="106"/>
      <c r="G227" s="106"/>
      <c r="H227" s="75"/>
      <c r="I227" s="75"/>
      <c r="J227" s="75"/>
      <c r="K227" s="75"/>
    </row>
    <row r="228" spans="1:11" x14ac:dyDescent="0.25">
      <c r="A228" s="69" t="s">
        <v>495</v>
      </c>
      <c r="B228" s="5" t="s">
        <v>882</v>
      </c>
      <c r="D228" s="31">
        <v>46388</v>
      </c>
      <c r="E228" s="7">
        <v>0.40899999999999997</v>
      </c>
      <c r="F228" s="107">
        <f>AVERAGE(E228:E240)</f>
        <v>0.19813076923076919</v>
      </c>
      <c r="G228" s="107">
        <v>0.1714</v>
      </c>
    </row>
    <row r="229" spans="1:11" x14ac:dyDescent="0.25">
      <c r="A229" s="69" t="s">
        <v>495</v>
      </c>
      <c r="B229" s="5" t="s">
        <v>883</v>
      </c>
      <c r="D229" s="31">
        <v>46388</v>
      </c>
      <c r="E229" s="7">
        <v>0.1832</v>
      </c>
      <c r="F229" s="105"/>
      <c r="G229" s="105"/>
    </row>
    <row r="230" spans="1:11" x14ac:dyDescent="0.25">
      <c r="A230" s="69" t="s">
        <v>495</v>
      </c>
      <c r="B230" s="5" t="s">
        <v>884</v>
      </c>
      <c r="D230" s="31">
        <v>46388</v>
      </c>
      <c r="E230" s="7">
        <v>0.1295</v>
      </c>
      <c r="F230" s="105"/>
      <c r="G230" s="105"/>
    </row>
    <row r="231" spans="1:11" x14ac:dyDescent="0.25">
      <c r="A231" s="69" t="s">
        <v>495</v>
      </c>
      <c r="B231" s="5" t="s">
        <v>885</v>
      </c>
      <c r="D231" s="31">
        <v>46388</v>
      </c>
      <c r="E231" s="7">
        <v>0.159</v>
      </c>
      <c r="F231" s="105"/>
      <c r="G231" s="105"/>
    </row>
    <row r="232" spans="1:11" x14ac:dyDescent="0.25">
      <c r="A232" s="69" t="s">
        <v>495</v>
      </c>
      <c r="B232" s="5" t="s">
        <v>886</v>
      </c>
      <c r="D232" s="31">
        <v>46388</v>
      </c>
      <c r="E232" s="7">
        <v>0.214</v>
      </c>
      <c r="F232" s="105"/>
      <c r="G232" s="105"/>
    </row>
    <row r="233" spans="1:11" x14ac:dyDescent="0.25">
      <c r="A233" s="69" t="s">
        <v>495</v>
      </c>
      <c r="B233" s="5" t="s">
        <v>887</v>
      </c>
      <c r="D233" s="31">
        <v>46388</v>
      </c>
      <c r="E233" s="7">
        <v>0.16159999999999999</v>
      </c>
      <c r="F233" s="105"/>
      <c r="G233" s="105"/>
    </row>
    <row r="234" spans="1:11" x14ac:dyDescent="0.25">
      <c r="A234" s="69" t="s">
        <v>495</v>
      </c>
      <c r="B234" s="5" t="s">
        <v>888</v>
      </c>
      <c r="D234" s="31">
        <v>46388</v>
      </c>
      <c r="E234" s="7">
        <v>0.33629999999999999</v>
      </c>
      <c r="F234" s="105"/>
      <c r="G234" s="105"/>
    </row>
    <row r="235" spans="1:11" x14ac:dyDescent="0.25">
      <c r="A235" s="69" t="s">
        <v>495</v>
      </c>
      <c r="B235" s="5" t="s">
        <v>889</v>
      </c>
      <c r="D235" s="31">
        <v>46388</v>
      </c>
      <c r="E235" s="7">
        <v>0.14680000000000001</v>
      </c>
      <c r="F235" s="105"/>
      <c r="G235" s="105"/>
    </row>
    <row r="236" spans="1:11" x14ac:dyDescent="0.25">
      <c r="A236" s="69" t="s">
        <v>495</v>
      </c>
      <c r="B236" s="5" t="s">
        <v>890</v>
      </c>
      <c r="D236" s="31">
        <v>46388</v>
      </c>
      <c r="E236" s="7">
        <v>0.15390000000000001</v>
      </c>
      <c r="F236" s="105"/>
      <c r="G236" s="105"/>
    </row>
    <row r="237" spans="1:11" x14ac:dyDescent="0.25">
      <c r="A237" s="69" t="s">
        <v>495</v>
      </c>
      <c r="B237" s="5" t="s">
        <v>891</v>
      </c>
      <c r="D237" s="31">
        <v>46388</v>
      </c>
      <c r="E237" s="7">
        <v>0.2051</v>
      </c>
      <c r="F237" s="105"/>
      <c r="G237" s="105"/>
    </row>
    <row r="238" spans="1:11" x14ac:dyDescent="0.25">
      <c r="A238" s="69" t="s">
        <v>495</v>
      </c>
      <c r="B238" s="5" t="s">
        <v>892</v>
      </c>
      <c r="D238" s="31">
        <v>46388</v>
      </c>
      <c r="E238" s="7">
        <v>0.1988</v>
      </c>
      <c r="F238" s="105"/>
      <c r="G238" s="105"/>
    </row>
    <row r="239" spans="1:11" x14ac:dyDescent="0.25">
      <c r="A239" s="69" t="s">
        <v>495</v>
      </c>
      <c r="B239" s="5" t="s">
        <v>893</v>
      </c>
      <c r="D239" s="31">
        <v>46388</v>
      </c>
      <c r="E239" s="7">
        <v>0.1203</v>
      </c>
      <c r="F239" s="105"/>
      <c r="G239" s="105"/>
    </row>
    <row r="240" spans="1:11" x14ac:dyDescent="0.25">
      <c r="A240" s="70" t="s">
        <v>495</v>
      </c>
      <c r="B240" s="10" t="s">
        <v>894</v>
      </c>
      <c r="C240" s="63"/>
      <c r="D240" s="40">
        <v>46388</v>
      </c>
      <c r="E240" s="12">
        <v>0.15820000000000001</v>
      </c>
      <c r="F240" s="106"/>
      <c r="G240" s="106"/>
      <c r="H240" s="63"/>
      <c r="I240" s="63"/>
      <c r="J240" s="63"/>
      <c r="K240" s="63"/>
    </row>
    <row r="241" spans="1:11" x14ac:dyDescent="0.25">
      <c r="A241" s="69" t="s">
        <v>526</v>
      </c>
      <c r="B241" s="5" t="s">
        <v>895</v>
      </c>
      <c r="D241" s="31">
        <v>46388</v>
      </c>
      <c r="E241" s="7">
        <v>9.8000000000000004E-2</v>
      </c>
      <c r="F241" s="105">
        <v>0.17349999999999999</v>
      </c>
      <c r="G241" s="107">
        <v>0.2009</v>
      </c>
    </row>
    <row r="242" spans="1:11" x14ac:dyDescent="0.25">
      <c r="A242" s="70" t="s">
        <v>526</v>
      </c>
      <c r="B242" s="10" t="s">
        <v>896</v>
      </c>
      <c r="C242" s="63"/>
      <c r="D242" s="40">
        <v>46388</v>
      </c>
      <c r="E242" s="12">
        <v>0.249</v>
      </c>
      <c r="F242" s="106"/>
      <c r="G242" s="106"/>
      <c r="H242" s="63"/>
      <c r="I242" s="63"/>
      <c r="J242" s="63"/>
      <c r="K242" s="63"/>
    </row>
    <row r="243" spans="1:11" x14ac:dyDescent="0.25">
      <c r="A243" s="69" t="s">
        <v>531</v>
      </c>
      <c r="B243" s="5" t="s">
        <v>897</v>
      </c>
      <c r="D243" s="31">
        <v>46388</v>
      </c>
      <c r="E243" s="7">
        <v>0.22090000000000001</v>
      </c>
      <c r="F243" s="107">
        <f>AVERAGE(E243:E250)</f>
        <v>0.22361249999999999</v>
      </c>
      <c r="G243" s="90"/>
    </row>
    <row r="244" spans="1:11" x14ac:dyDescent="0.25">
      <c r="A244" s="69" t="s">
        <v>531</v>
      </c>
      <c r="B244" s="5" t="s">
        <v>898</v>
      </c>
      <c r="D244" s="31">
        <v>46388</v>
      </c>
      <c r="E244" s="7">
        <v>0.15590000000000001</v>
      </c>
      <c r="F244" s="105"/>
      <c r="G244" s="90"/>
    </row>
    <row r="245" spans="1:11" x14ac:dyDescent="0.25">
      <c r="A245" s="69" t="s">
        <v>531</v>
      </c>
      <c r="B245" s="5" t="s">
        <v>899</v>
      </c>
      <c r="D245" s="31">
        <v>46388</v>
      </c>
      <c r="E245" s="7">
        <v>0.23899999999999999</v>
      </c>
      <c r="F245" s="105"/>
      <c r="G245" s="90"/>
    </row>
    <row r="246" spans="1:11" x14ac:dyDescent="0.25">
      <c r="A246" s="69" t="s">
        <v>531</v>
      </c>
      <c r="B246" s="5" t="s">
        <v>686</v>
      </c>
      <c r="D246" s="31">
        <v>46388</v>
      </c>
      <c r="E246" s="7">
        <v>0.23230000000000001</v>
      </c>
      <c r="F246" s="105"/>
      <c r="G246" s="90"/>
    </row>
    <row r="247" spans="1:11" x14ac:dyDescent="0.25">
      <c r="A247" s="69" t="s">
        <v>531</v>
      </c>
      <c r="B247" s="5" t="s">
        <v>900</v>
      </c>
      <c r="D247" s="31">
        <v>46388</v>
      </c>
      <c r="E247" s="7">
        <v>0.23369999999999999</v>
      </c>
      <c r="F247" s="105"/>
      <c r="G247" s="90"/>
    </row>
    <row r="248" spans="1:11" x14ac:dyDescent="0.25">
      <c r="A248" s="69" t="s">
        <v>531</v>
      </c>
      <c r="B248" s="5" t="s">
        <v>901</v>
      </c>
      <c r="D248" s="31">
        <v>46388</v>
      </c>
      <c r="E248" s="7">
        <v>0.14560000000000001</v>
      </c>
      <c r="F248" s="105"/>
      <c r="G248" s="90"/>
    </row>
    <row r="249" spans="1:11" x14ac:dyDescent="0.25">
      <c r="A249" s="69" t="s">
        <v>531</v>
      </c>
      <c r="B249" s="5" t="s">
        <v>902</v>
      </c>
      <c r="D249" s="31">
        <v>46388</v>
      </c>
      <c r="E249" s="7">
        <v>0.1067</v>
      </c>
      <c r="F249" s="105"/>
      <c r="G249" s="90"/>
    </row>
    <row r="250" spans="1:11" x14ac:dyDescent="0.25">
      <c r="A250" s="70" t="s">
        <v>531</v>
      </c>
      <c r="B250" s="10" t="s">
        <v>903</v>
      </c>
      <c r="C250" s="63"/>
      <c r="D250" s="40">
        <v>46388</v>
      </c>
      <c r="E250" s="12">
        <v>0.45479999999999998</v>
      </c>
      <c r="F250" s="106"/>
      <c r="G250" s="91"/>
      <c r="H250" s="63"/>
      <c r="I250" s="63"/>
      <c r="J250" s="63"/>
      <c r="K250" s="63"/>
    </row>
    <row r="251" spans="1:11" x14ac:dyDescent="0.25">
      <c r="A251" s="72" t="s">
        <v>547</v>
      </c>
      <c r="B251" s="5" t="s">
        <v>904</v>
      </c>
      <c r="D251" s="31">
        <v>46388</v>
      </c>
      <c r="E251" s="7">
        <v>0.1174</v>
      </c>
      <c r="F251" s="105">
        <f>AVERAGE(E251:E253)</f>
        <v>0.10163333333333334</v>
      </c>
      <c r="G251" s="90"/>
    </row>
    <row r="252" spans="1:11" x14ac:dyDescent="0.25">
      <c r="A252" s="72" t="s">
        <v>547</v>
      </c>
      <c r="B252" s="5" t="s">
        <v>443</v>
      </c>
      <c r="D252" s="31">
        <v>46388</v>
      </c>
      <c r="E252" s="7">
        <v>0.1157</v>
      </c>
      <c r="F252" s="105"/>
      <c r="G252" s="90"/>
    </row>
    <row r="253" spans="1:11" x14ac:dyDescent="0.25">
      <c r="A253" s="73" t="s">
        <v>547</v>
      </c>
      <c r="B253" s="10" t="s">
        <v>905</v>
      </c>
      <c r="C253" s="63"/>
      <c r="D253" s="40">
        <v>46388</v>
      </c>
      <c r="E253" s="12">
        <v>7.1800000000000003E-2</v>
      </c>
      <c r="F253" s="106"/>
      <c r="G253" s="91"/>
      <c r="H253" s="63"/>
      <c r="I253" s="63"/>
      <c r="J253" s="63"/>
      <c r="K253" s="63"/>
    </row>
    <row r="254" spans="1:11" x14ac:dyDescent="0.25">
      <c r="A254" s="69" t="s">
        <v>553</v>
      </c>
      <c r="B254" s="5" t="s">
        <v>906</v>
      </c>
      <c r="D254" s="31">
        <v>46388</v>
      </c>
      <c r="E254" s="7">
        <v>0.2331</v>
      </c>
      <c r="F254" s="110">
        <f>AVERAGE(E254:E259)</f>
        <v>0.18356666666666666</v>
      </c>
      <c r="G254" s="90"/>
    </row>
    <row r="255" spans="1:11" x14ac:dyDescent="0.25">
      <c r="A255" s="69" t="s">
        <v>553</v>
      </c>
      <c r="B255" s="5" t="s">
        <v>907</v>
      </c>
      <c r="D255" s="31">
        <v>46388</v>
      </c>
      <c r="E255" s="7">
        <v>0.18060000000000001</v>
      </c>
      <c r="F255" s="110"/>
      <c r="G255" s="90"/>
    </row>
    <row r="256" spans="1:11" x14ac:dyDescent="0.25">
      <c r="A256" s="69" t="s">
        <v>553</v>
      </c>
      <c r="B256" s="5" t="s">
        <v>908</v>
      </c>
      <c r="D256" s="31">
        <v>46388</v>
      </c>
      <c r="E256" s="7">
        <v>0.1036</v>
      </c>
      <c r="F256" s="110"/>
      <c r="G256" s="90"/>
    </row>
    <row r="257" spans="1:11" x14ac:dyDescent="0.25">
      <c r="A257" s="69" t="s">
        <v>553</v>
      </c>
      <c r="B257" s="5" t="s">
        <v>686</v>
      </c>
      <c r="D257" s="31">
        <v>46388</v>
      </c>
      <c r="E257" s="7">
        <v>0.1101</v>
      </c>
      <c r="F257" s="110"/>
      <c r="G257" s="90"/>
    </row>
    <row r="258" spans="1:11" x14ac:dyDescent="0.25">
      <c r="A258" s="69" t="s">
        <v>553</v>
      </c>
      <c r="B258" s="5" t="s">
        <v>687</v>
      </c>
      <c r="D258" s="31">
        <v>46388</v>
      </c>
      <c r="E258" s="7">
        <v>0.18720000000000001</v>
      </c>
      <c r="F258" s="110"/>
      <c r="G258" s="90"/>
    </row>
    <row r="259" spans="1:11" x14ac:dyDescent="0.25">
      <c r="A259" s="70" t="s">
        <v>553</v>
      </c>
      <c r="B259" s="10" t="s">
        <v>560</v>
      </c>
      <c r="C259" s="63"/>
      <c r="D259" s="40">
        <v>46388</v>
      </c>
      <c r="E259" s="12">
        <v>0.2868</v>
      </c>
      <c r="F259" s="111"/>
      <c r="G259" s="91"/>
      <c r="H259" s="63"/>
      <c r="I259" s="63"/>
      <c r="J259" s="63"/>
      <c r="K259" s="63"/>
    </row>
    <row r="260" spans="1:11" x14ac:dyDescent="0.25">
      <c r="A260" s="69" t="s">
        <v>562</v>
      </c>
      <c r="B260" s="5" t="s">
        <v>909</v>
      </c>
      <c r="D260" s="31">
        <v>46388</v>
      </c>
      <c r="E260" s="7">
        <v>1.2999999999999999E-2</v>
      </c>
      <c r="F260" s="105">
        <f>AVERAGE(E260:E276)</f>
        <v>0.16542352941176464</v>
      </c>
      <c r="G260" s="90"/>
    </row>
    <row r="261" spans="1:11" x14ac:dyDescent="0.25">
      <c r="A261" s="69" t="s">
        <v>562</v>
      </c>
      <c r="B261" s="5" t="s">
        <v>910</v>
      </c>
      <c r="D261" s="31">
        <v>46388</v>
      </c>
      <c r="E261" s="7">
        <v>8.9300000000000004E-2</v>
      </c>
      <c r="F261" s="105"/>
      <c r="G261" s="90"/>
    </row>
    <row r="262" spans="1:11" x14ac:dyDescent="0.25">
      <c r="A262" s="69" t="s">
        <v>562</v>
      </c>
      <c r="B262" s="5" t="s">
        <v>686</v>
      </c>
      <c r="D262" s="31">
        <v>46388</v>
      </c>
      <c r="E262" s="7">
        <v>4.7199999999999999E-2</v>
      </c>
      <c r="F262" s="105"/>
      <c r="G262" s="90"/>
    </row>
    <row r="263" spans="1:11" x14ac:dyDescent="0.25">
      <c r="A263" s="69" t="s">
        <v>562</v>
      </c>
      <c r="B263" s="5" t="s">
        <v>911</v>
      </c>
      <c r="D263" s="31">
        <v>46388</v>
      </c>
      <c r="E263" s="7">
        <v>0.12529999999999999</v>
      </c>
      <c r="F263" s="105"/>
      <c r="G263" s="90"/>
    </row>
    <row r="264" spans="1:11" x14ac:dyDescent="0.25">
      <c r="A264" s="69" t="s">
        <v>562</v>
      </c>
      <c r="B264" s="5" t="s">
        <v>912</v>
      </c>
      <c r="D264" s="31">
        <v>46388</v>
      </c>
      <c r="E264" s="7">
        <v>0.1419</v>
      </c>
      <c r="F264" s="105"/>
      <c r="G264" s="90"/>
    </row>
    <row r="265" spans="1:11" x14ac:dyDescent="0.25">
      <c r="A265" s="69" t="s">
        <v>562</v>
      </c>
      <c r="B265" s="5" t="s">
        <v>913</v>
      </c>
      <c r="D265" s="31">
        <v>46388</v>
      </c>
      <c r="E265" s="7">
        <v>0.27229999999999999</v>
      </c>
      <c r="F265" s="105"/>
      <c r="G265" s="90"/>
    </row>
    <row r="266" spans="1:11" x14ac:dyDescent="0.25">
      <c r="A266" s="69" t="s">
        <v>562</v>
      </c>
      <c r="B266" s="5" t="s">
        <v>914</v>
      </c>
      <c r="D266" s="31">
        <v>46388</v>
      </c>
      <c r="E266" s="7">
        <v>0.27160000000000001</v>
      </c>
      <c r="F266" s="105"/>
      <c r="G266" s="90"/>
    </row>
    <row r="267" spans="1:11" x14ac:dyDescent="0.25">
      <c r="A267" s="69" t="s">
        <v>562</v>
      </c>
      <c r="B267" s="5" t="s">
        <v>915</v>
      </c>
      <c r="D267" s="31">
        <v>46388</v>
      </c>
      <c r="E267" s="7">
        <v>7.9100000000000004E-2</v>
      </c>
      <c r="F267" s="105"/>
      <c r="G267" s="90"/>
    </row>
    <row r="268" spans="1:11" x14ac:dyDescent="0.25">
      <c r="A268" s="69" t="s">
        <v>562</v>
      </c>
      <c r="B268" s="5" t="s">
        <v>699</v>
      </c>
      <c r="D268" s="31">
        <v>46388</v>
      </c>
      <c r="E268" s="7">
        <v>0.1275</v>
      </c>
      <c r="F268" s="105"/>
      <c r="G268" s="90"/>
    </row>
    <row r="269" spans="1:11" x14ac:dyDescent="0.25">
      <c r="A269" s="69" t="s">
        <v>562</v>
      </c>
      <c r="B269" s="5" t="s">
        <v>749</v>
      </c>
      <c r="D269" s="31">
        <v>46388</v>
      </c>
      <c r="E269" s="7">
        <v>0.23250000000000001</v>
      </c>
      <c r="F269" s="105"/>
      <c r="G269" s="90"/>
    </row>
    <row r="270" spans="1:11" x14ac:dyDescent="0.25">
      <c r="A270" s="69" t="s">
        <v>562</v>
      </c>
      <c r="B270" s="5" t="s">
        <v>916</v>
      </c>
      <c r="D270" s="31">
        <v>46388</v>
      </c>
      <c r="E270" s="7">
        <v>0.12959999999999999</v>
      </c>
      <c r="F270" s="105"/>
      <c r="G270" s="90"/>
    </row>
    <row r="271" spans="1:11" x14ac:dyDescent="0.25">
      <c r="A271" s="69" t="s">
        <v>562</v>
      </c>
      <c r="B271" s="5" t="s">
        <v>687</v>
      </c>
      <c r="D271" s="31">
        <v>46388</v>
      </c>
      <c r="E271" s="7">
        <v>9.5600000000000004E-2</v>
      </c>
      <c r="F271" s="105"/>
      <c r="G271" s="90"/>
    </row>
    <row r="272" spans="1:11" x14ac:dyDescent="0.25">
      <c r="A272" s="69" t="s">
        <v>562</v>
      </c>
      <c r="B272" s="5" t="s">
        <v>917</v>
      </c>
      <c r="D272" s="31">
        <v>46388</v>
      </c>
      <c r="E272" s="7">
        <v>0.31069999999999998</v>
      </c>
      <c r="F272" s="105"/>
      <c r="G272" s="90"/>
    </row>
    <row r="273" spans="1:11" x14ac:dyDescent="0.25">
      <c r="A273" s="69" t="s">
        <v>562</v>
      </c>
      <c r="B273" s="5" t="s">
        <v>588</v>
      </c>
      <c r="D273" s="31">
        <v>46388</v>
      </c>
      <c r="E273" s="7">
        <v>0.1106</v>
      </c>
      <c r="F273" s="105"/>
      <c r="G273" s="90"/>
    </row>
    <row r="274" spans="1:11" x14ac:dyDescent="0.25">
      <c r="A274" s="69" t="s">
        <v>562</v>
      </c>
      <c r="B274" s="5" t="s">
        <v>918</v>
      </c>
      <c r="D274" s="31">
        <v>46388</v>
      </c>
      <c r="E274" s="7">
        <v>0.33960000000000001</v>
      </c>
      <c r="F274" s="105"/>
      <c r="G274" s="90"/>
    </row>
    <row r="275" spans="1:11" x14ac:dyDescent="0.25">
      <c r="A275" s="69" t="s">
        <v>562</v>
      </c>
      <c r="B275" s="5" t="s">
        <v>919</v>
      </c>
      <c r="D275" s="31">
        <v>46388</v>
      </c>
      <c r="E275" s="7">
        <v>0.2737</v>
      </c>
      <c r="F275" s="105"/>
      <c r="G275" s="90"/>
    </row>
    <row r="276" spans="1:11" x14ac:dyDescent="0.25">
      <c r="A276" s="102" t="s">
        <v>562</v>
      </c>
      <c r="B276" s="10" t="s">
        <v>920</v>
      </c>
      <c r="C276" s="97"/>
      <c r="D276" s="40">
        <v>46388</v>
      </c>
      <c r="E276" s="12">
        <v>0.1527</v>
      </c>
      <c r="F276" s="106"/>
      <c r="G276" s="91"/>
      <c r="H276" s="63"/>
      <c r="I276" s="63"/>
      <c r="J276" s="63"/>
      <c r="K276" s="63"/>
    </row>
    <row r="277" spans="1:11" x14ac:dyDescent="0.25">
      <c r="A277" s="72" t="s">
        <v>594</v>
      </c>
      <c r="B277" s="5" t="s">
        <v>879</v>
      </c>
      <c r="D277" s="31">
        <v>46388</v>
      </c>
      <c r="E277" s="7">
        <v>7.85E-2</v>
      </c>
      <c r="F277" s="105">
        <f>AVERAGE(E277:E282)</f>
        <v>9.5216666666666672E-2</v>
      </c>
      <c r="G277" s="90"/>
    </row>
    <row r="278" spans="1:11" x14ac:dyDescent="0.25">
      <c r="A278" s="72" t="s">
        <v>594</v>
      </c>
      <c r="B278" s="5" t="s">
        <v>921</v>
      </c>
      <c r="D278" s="31">
        <v>46388</v>
      </c>
      <c r="E278" s="7">
        <v>0.1575</v>
      </c>
      <c r="F278" s="105"/>
      <c r="G278" s="90"/>
    </row>
    <row r="279" spans="1:11" x14ac:dyDescent="0.25">
      <c r="A279" s="72" t="s">
        <v>594</v>
      </c>
      <c r="B279" s="5" t="s">
        <v>750</v>
      </c>
      <c r="D279" s="31">
        <v>46388</v>
      </c>
      <c r="E279" s="7">
        <v>9.1600000000000001E-2</v>
      </c>
      <c r="F279" s="105"/>
      <c r="G279" s="90"/>
    </row>
    <row r="280" spans="1:11" x14ac:dyDescent="0.25">
      <c r="A280" s="72" t="s">
        <v>594</v>
      </c>
      <c r="B280" s="5" t="s">
        <v>922</v>
      </c>
      <c r="D280" s="31">
        <v>46388</v>
      </c>
      <c r="E280" s="7">
        <v>6.3500000000000001E-2</v>
      </c>
      <c r="F280" s="105"/>
      <c r="G280" s="90"/>
    </row>
    <row r="281" spans="1:11" x14ac:dyDescent="0.25">
      <c r="A281" s="72" t="s">
        <v>594</v>
      </c>
      <c r="B281" s="5" t="s">
        <v>829</v>
      </c>
      <c r="D281" s="31">
        <v>46388</v>
      </c>
      <c r="E281" s="7">
        <v>5.96E-2</v>
      </c>
      <c r="F281" s="105"/>
      <c r="G281" s="90"/>
    </row>
    <row r="282" spans="1:11" x14ac:dyDescent="0.25">
      <c r="A282" s="73" t="s">
        <v>594</v>
      </c>
      <c r="B282" s="10" t="s">
        <v>923</v>
      </c>
      <c r="C282" s="63"/>
      <c r="D282" s="40">
        <v>46388</v>
      </c>
      <c r="E282" s="12">
        <v>0.1206</v>
      </c>
      <c r="F282" s="106"/>
      <c r="G282" s="91"/>
      <c r="H282" s="63"/>
      <c r="I282" s="63"/>
      <c r="J282" s="63"/>
      <c r="K282" s="63"/>
    </row>
    <row r="283" spans="1:11" x14ac:dyDescent="0.25">
      <c r="A283" s="72" t="s">
        <v>606</v>
      </c>
      <c r="B283" s="5" t="s">
        <v>924</v>
      </c>
      <c r="D283" s="31">
        <v>46388</v>
      </c>
      <c r="E283" s="7">
        <v>5.2400000000000002E-2</v>
      </c>
      <c r="F283" s="105">
        <f>AVERAGE(E283:E284)</f>
        <v>6.5200000000000008E-2</v>
      </c>
      <c r="G283" s="105">
        <v>6.4899999999999999E-2</v>
      </c>
    </row>
    <row r="284" spans="1:11" ht="15" customHeight="1" x14ac:dyDescent="0.25">
      <c r="A284" s="73" t="s">
        <v>606</v>
      </c>
      <c r="B284" s="10" t="s">
        <v>925</v>
      </c>
      <c r="C284" s="63"/>
      <c r="D284" s="40">
        <v>46388</v>
      </c>
      <c r="E284" s="12">
        <v>7.8E-2</v>
      </c>
      <c r="F284" s="106"/>
      <c r="G284" s="106"/>
      <c r="H284" s="63"/>
      <c r="I284" s="63"/>
      <c r="J284" s="63"/>
      <c r="K284" s="63"/>
    </row>
    <row r="285" spans="1:11" ht="15" customHeight="1" x14ac:dyDescent="0.25">
      <c r="A285" s="72" t="s">
        <v>610</v>
      </c>
      <c r="B285" s="5" t="s">
        <v>926</v>
      </c>
      <c r="D285" s="31">
        <v>46388</v>
      </c>
      <c r="E285" s="7">
        <v>9.0700000000000003E-2</v>
      </c>
      <c r="F285" s="107">
        <f>AVERAGE(E285:E292)</f>
        <v>0.12566249999999998</v>
      </c>
      <c r="G285" s="90"/>
    </row>
    <row r="286" spans="1:11" ht="15" customHeight="1" x14ac:dyDescent="0.25">
      <c r="A286" s="72" t="s">
        <v>610</v>
      </c>
      <c r="B286" s="5" t="s">
        <v>721</v>
      </c>
      <c r="D286" s="31">
        <v>46388</v>
      </c>
      <c r="E286" s="7">
        <v>5.8799999999999998E-2</v>
      </c>
      <c r="F286" s="105"/>
      <c r="G286" s="90"/>
    </row>
    <row r="287" spans="1:11" ht="15" customHeight="1" x14ac:dyDescent="0.25">
      <c r="A287" s="72" t="s">
        <v>610</v>
      </c>
      <c r="B287" s="5" t="s">
        <v>927</v>
      </c>
      <c r="D287" s="31">
        <v>46388</v>
      </c>
      <c r="E287" s="7">
        <v>8.4099999999999994E-2</v>
      </c>
      <c r="F287" s="105"/>
      <c r="G287" s="90"/>
    </row>
    <row r="288" spans="1:11" ht="15" customHeight="1" x14ac:dyDescent="0.25">
      <c r="A288" s="72" t="s">
        <v>610</v>
      </c>
      <c r="B288" s="5" t="s">
        <v>928</v>
      </c>
      <c r="D288" s="31">
        <v>46388</v>
      </c>
      <c r="E288" s="7">
        <v>0.126</v>
      </c>
      <c r="F288" s="105"/>
      <c r="G288" s="90"/>
    </row>
    <row r="289" spans="1:11" ht="15" customHeight="1" x14ac:dyDescent="0.25">
      <c r="A289" s="72" t="s">
        <v>610</v>
      </c>
      <c r="B289" s="5" t="s">
        <v>929</v>
      </c>
      <c r="D289" s="31">
        <v>46388</v>
      </c>
      <c r="E289" s="7">
        <v>0.1148</v>
      </c>
      <c r="F289" s="105"/>
      <c r="G289" s="90"/>
    </row>
    <row r="290" spans="1:11" ht="15" customHeight="1" x14ac:dyDescent="0.25">
      <c r="A290" s="72" t="s">
        <v>610</v>
      </c>
      <c r="B290" s="5" t="s">
        <v>930</v>
      </c>
      <c r="D290" s="31">
        <v>46388</v>
      </c>
      <c r="E290" s="7">
        <v>0.1593</v>
      </c>
      <c r="F290" s="105"/>
      <c r="G290" s="90"/>
    </row>
    <row r="291" spans="1:11" ht="15" customHeight="1" x14ac:dyDescent="0.25">
      <c r="A291" s="72" t="s">
        <v>610</v>
      </c>
      <c r="B291" s="5" t="s">
        <v>687</v>
      </c>
      <c r="D291" s="31">
        <v>46388</v>
      </c>
      <c r="E291" s="7">
        <v>0.14330000000000001</v>
      </c>
      <c r="F291" s="105"/>
      <c r="G291" s="90"/>
    </row>
    <row r="292" spans="1:11" ht="15" customHeight="1" x14ac:dyDescent="0.25">
      <c r="A292" s="73" t="s">
        <v>610</v>
      </c>
      <c r="B292" s="10" t="s">
        <v>931</v>
      </c>
      <c r="C292" s="63"/>
      <c r="D292" s="40">
        <v>46388</v>
      </c>
      <c r="E292" s="12">
        <v>0.2283</v>
      </c>
      <c r="F292" s="106"/>
      <c r="G292" s="91"/>
      <c r="H292" s="63"/>
      <c r="I292" s="63"/>
      <c r="J292" s="63"/>
      <c r="K292" s="63"/>
    </row>
    <row r="293" spans="1:11" ht="15" customHeight="1" x14ac:dyDescent="0.25">
      <c r="A293" s="69" t="s">
        <v>623</v>
      </c>
      <c r="B293" s="5" t="s">
        <v>932</v>
      </c>
      <c r="D293" s="31">
        <v>46388</v>
      </c>
      <c r="E293" s="7">
        <v>0.14899999999999999</v>
      </c>
      <c r="F293" s="105">
        <v>0.185</v>
      </c>
      <c r="G293" s="105">
        <v>0.2243</v>
      </c>
    </row>
    <row r="294" spans="1:11" ht="15" customHeight="1" x14ac:dyDescent="0.25">
      <c r="A294" s="69" t="s">
        <v>623</v>
      </c>
      <c r="B294" s="5" t="s">
        <v>879</v>
      </c>
      <c r="D294" s="31">
        <v>46388</v>
      </c>
      <c r="E294" s="7">
        <v>0.127</v>
      </c>
      <c r="F294" s="105"/>
      <c r="G294" s="105"/>
    </row>
    <row r="295" spans="1:11" ht="15" customHeight="1" x14ac:dyDescent="0.25">
      <c r="A295" s="69" t="s">
        <v>623</v>
      </c>
      <c r="B295" s="5" t="s">
        <v>933</v>
      </c>
      <c r="D295" s="31">
        <v>46388</v>
      </c>
      <c r="E295" s="7">
        <v>0.245</v>
      </c>
      <c r="F295" s="105"/>
      <c r="G295" s="105"/>
    </row>
    <row r="296" spans="1:11" ht="15" customHeight="1" x14ac:dyDescent="0.25">
      <c r="A296" s="69" t="s">
        <v>623</v>
      </c>
      <c r="B296" s="5" t="s">
        <v>763</v>
      </c>
      <c r="D296" s="31">
        <v>46388</v>
      </c>
      <c r="E296" s="7">
        <v>0.27800000000000002</v>
      </c>
      <c r="F296" s="105"/>
      <c r="G296" s="105"/>
    </row>
    <row r="297" spans="1:11" ht="15" customHeight="1" x14ac:dyDescent="0.25">
      <c r="A297" s="69" t="s">
        <v>623</v>
      </c>
      <c r="B297" s="5" t="s">
        <v>880</v>
      </c>
      <c r="D297" s="31">
        <v>46388</v>
      </c>
      <c r="E297" s="7">
        <v>9.5000000000000001E-2</v>
      </c>
      <c r="F297" s="105"/>
      <c r="G297" s="105"/>
    </row>
    <row r="298" spans="1:11" ht="15" customHeight="1" x14ac:dyDescent="0.25">
      <c r="A298" s="69" t="s">
        <v>623</v>
      </c>
      <c r="B298" s="5" t="s">
        <v>934</v>
      </c>
      <c r="D298" s="31">
        <v>46388</v>
      </c>
      <c r="E298" s="7">
        <v>0.14000000000000001</v>
      </c>
      <c r="F298" s="105"/>
      <c r="G298" s="105"/>
    </row>
    <row r="299" spans="1:11" ht="15" customHeight="1" x14ac:dyDescent="0.25">
      <c r="A299" s="69" t="s">
        <v>623</v>
      </c>
      <c r="B299" s="5" t="s">
        <v>935</v>
      </c>
      <c r="D299" s="31">
        <v>46388</v>
      </c>
      <c r="E299" s="7">
        <v>0.21299999999999999</v>
      </c>
      <c r="F299" s="105"/>
      <c r="G299" s="105"/>
    </row>
    <row r="300" spans="1:11" ht="15" customHeight="1" x14ac:dyDescent="0.25">
      <c r="A300" s="69" t="s">
        <v>623</v>
      </c>
      <c r="B300" s="5" t="s">
        <v>936</v>
      </c>
      <c r="D300" s="31">
        <v>46388</v>
      </c>
      <c r="E300" s="7">
        <v>0.25800000000000001</v>
      </c>
      <c r="F300" s="105"/>
      <c r="G300" s="105"/>
    </row>
    <row r="301" spans="1:11" ht="15" customHeight="1" x14ac:dyDescent="0.25">
      <c r="A301" s="69" t="s">
        <v>623</v>
      </c>
      <c r="B301" s="5" t="s">
        <v>937</v>
      </c>
      <c r="D301" s="31">
        <v>46388</v>
      </c>
      <c r="E301" s="7">
        <v>0.24</v>
      </c>
      <c r="F301" s="105"/>
      <c r="G301" s="105"/>
    </row>
    <row r="302" spans="1:11" ht="15" customHeight="1" x14ac:dyDescent="0.25">
      <c r="A302" s="69" t="s">
        <v>623</v>
      </c>
      <c r="B302" s="5" t="s">
        <v>938</v>
      </c>
      <c r="D302" s="31">
        <v>46388</v>
      </c>
      <c r="E302" s="7">
        <v>8.5999999999999993E-2</v>
      </c>
      <c r="F302" s="105"/>
      <c r="G302" s="105"/>
    </row>
    <row r="303" spans="1:11" ht="15" customHeight="1" x14ac:dyDescent="0.25">
      <c r="A303" s="69" t="s">
        <v>623</v>
      </c>
      <c r="B303" s="5" t="s">
        <v>939</v>
      </c>
      <c r="D303" s="31">
        <v>46388</v>
      </c>
      <c r="E303" s="7">
        <v>0.17399999999999999</v>
      </c>
      <c r="F303" s="105"/>
      <c r="G303" s="105"/>
    </row>
    <row r="304" spans="1:11" ht="15" customHeight="1" x14ac:dyDescent="0.25">
      <c r="A304" s="69" t="s">
        <v>623</v>
      </c>
      <c r="B304" s="5" t="s">
        <v>940</v>
      </c>
      <c r="D304" s="31">
        <v>46388</v>
      </c>
      <c r="E304" s="7">
        <v>0.26400000000000001</v>
      </c>
      <c r="F304" s="105"/>
      <c r="G304" s="105"/>
    </row>
    <row r="305" spans="1:11" ht="15" customHeight="1" x14ac:dyDescent="0.25">
      <c r="A305" s="70" t="s">
        <v>623</v>
      </c>
      <c r="B305" s="10" t="s">
        <v>941</v>
      </c>
      <c r="C305" s="63"/>
      <c r="D305" s="40">
        <v>46388</v>
      </c>
      <c r="E305" s="12">
        <v>0.13700000000000001</v>
      </c>
      <c r="F305" s="106"/>
      <c r="G305" s="106"/>
      <c r="H305" s="63"/>
      <c r="I305" s="63"/>
      <c r="J305" s="63"/>
      <c r="K305" s="63"/>
    </row>
    <row r="306" spans="1:11" ht="15" customHeight="1" x14ac:dyDescent="0.25">
      <c r="A306" s="86" t="s">
        <v>646</v>
      </c>
      <c r="B306" t="s">
        <v>942</v>
      </c>
      <c r="D306" s="92">
        <v>46388</v>
      </c>
      <c r="E306" s="89">
        <v>0.18329999999999999</v>
      </c>
      <c r="F306" s="107">
        <f>AVERAGE(E306:E307)</f>
        <v>0.15959999999999999</v>
      </c>
    </row>
    <row r="307" spans="1:11" ht="15" customHeight="1" x14ac:dyDescent="0.25">
      <c r="A307" s="87" t="s">
        <v>646</v>
      </c>
      <c r="B307" s="63" t="s">
        <v>943</v>
      </c>
      <c r="C307" s="63"/>
      <c r="D307" s="95">
        <v>46388</v>
      </c>
      <c r="E307" s="88">
        <v>0.13589999999999999</v>
      </c>
      <c r="F307" s="106"/>
      <c r="G307" s="94"/>
      <c r="H307" s="63"/>
      <c r="I307" s="63"/>
      <c r="J307" s="63"/>
      <c r="K307" s="63"/>
    </row>
    <row r="308" spans="1:11" ht="15" customHeight="1" x14ac:dyDescent="0.25">
      <c r="A308" s="86" t="s">
        <v>652</v>
      </c>
      <c r="B308" t="s">
        <v>808</v>
      </c>
      <c r="D308" s="92">
        <v>46388</v>
      </c>
      <c r="E308" s="93">
        <v>0.24329999999999999</v>
      </c>
      <c r="F308" s="109">
        <f>AVERAGE(E308:E319)</f>
        <v>0.20875833333333338</v>
      </c>
    </row>
    <row r="309" spans="1:11" ht="15" customHeight="1" x14ac:dyDescent="0.25">
      <c r="A309" s="86" t="s">
        <v>652</v>
      </c>
      <c r="B309" t="s">
        <v>944</v>
      </c>
      <c r="D309" s="92">
        <v>46388</v>
      </c>
      <c r="E309" s="93">
        <v>0.30880000000000002</v>
      </c>
      <c r="F309" s="110"/>
    </row>
    <row r="310" spans="1:11" ht="15" customHeight="1" x14ac:dyDescent="0.25">
      <c r="A310" s="86" t="s">
        <v>652</v>
      </c>
      <c r="B310" t="s">
        <v>945</v>
      </c>
      <c r="D310" s="92">
        <v>46388</v>
      </c>
      <c r="E310" s="93">
        <v>0.1648</v>
      </c>
      <c r="F310" s="110"/>
    </row>
    <row r="311" spans="1:11" ht="15" customHeight="1" x14ac:dyDescent="0.25">
      <c r="A311" s="86" t="s">
        <v>652</v>
      </c>
      <c r="B311" t="s">
        <v>946</v>
      </c>
      <c r="D311" s="92">
        <v>46388</v>
      </c>
      <c r="E311" s="93">
        <v>0.19400000000000001</v>
      </c>
      <c r="F311" s="110"/>
    </row>
    <row r="312" spans="1:11" ht="15" customHeight="1" x14ac:dyDescent="0.25">
      <c r="A312" s="86" t="s">
        <v>652</v>
      </c>
      <c r="B312" t="s">
        <v>947</v>
      </c>
      <c r="D312" s="92">
        <v>46388</v>
      </c>
      <c r="E312" s="93">
        <v>0.16450000000000001</v>
      </c>
      <c r="F312" s="110"/>
    </row>
    <row r="313" spans="1:11" ht="15" customHeight="1" x14ac:dyDescent="0.25">
      <c r="A313" s="86" t="s">
        <v>652</v>
      </c>
      <c r="B313" t="s">
        <v>948</v>
      </c>
      <c r="D313" s="92">
        <v>46388</v>
      </c>
      <c r="E313" s="93">
        <v>0.15590000000000001</v>
      </c>
      <c r="F313" s="110"/>
    </row>
    <row r="314" spans="1:11" ht="15" customHeight="1" x14ac:dyDescent="0.25">
      <c r="A314" s="86" t="s">
        <v>652</v>
      </c>
      <c r="B314" t="s">
        <v>949</v>
      </c>
      <c r="D314" s="92">
        <v>46388</v>
      </c>
      <c r="E314" s="93">
        <v>0.24560000000000001</v>
      </c>
      <c r="F314" s="110"/>
    </row>
    <row r="315" spans="1:11" ht="15" customHeight="1" x14ac:dyDescent="0.25">
      <c r="A315" s="86" t="s">
        <v>652</v>
      </c>
      <c r="B315" t="s">
        <v>950</v>
      </c>
      <c r="D315" s="92">
        <v>46388</v>
      </c>
      <c r="E315" s="93">
        <v>0.28010000000000002</v>
      </c>
      <c r="F315" s="110"/>
    </row>
    <row r="316" spans="1:11" ht="15" customHeight="1" x14ac:dyDescent="0.25">
      <c r="A316" s="86" t="s">
        <v>652</v>
      </c>
      <c r="B316" t="s">
        <v>951</v>
      </c>
      <c r="D316" s="92">
        <v>46388</v>
      </c>
      <c r="E316" s="93">
        <v>0.2354</v>
      </c>
      <c r="F316" s="110"/>
    </row>
    <row r="317" spans="1:11" ht="15" customHeight="1" x14ac:dyDescent="0.25">
      <c r="A317" s="86" t="s">
        <v>652</v>
      </c>
      <c r="B317" t="s">
        <v>952</v>
      </c>
      <c r="D317" s="92">
        <v>46388</v>
      </c>
      <c r="E317" s="93">
        <v>0.16830000000000001</v>
      </c>
      <c r="F317" s="110"/>
    </row>
    <row r="318" spans="1:11" ht="15" customHeight="1" x14ac:dyDescent="0.25">
      <c r="A318" s="86" t="s">
        <v>652</v>
      </c>
      <c r="B318" t="s">
        <v>953</v>
      </c>
      <c r="D318" s="92">
        <v>46388</v>
      </c>
      <c r="E318" s="93">
        <v>0.1072</v>
      </c>
      <c r="F318" s="110"/>
    </row>
    <row r="319" spans="1:11" ht="15" customHeight="1" x14ac:dyDescent="0.25">
      <c r="A319" s="87" t="s">
        <v>652</v>
      </c>
      <c r="B319" s="63" t="s">
        <v>954</v>
      </c>
      <c r="C319" s="63"/>
      <c r="D319" s="95">
        <v>46388</v>
      </c>
      <c r="E319" s="96">
        <v>0.23719999999999999</v>
      </c>
      <c r="F319" s="111"/>
      <c r="G319" s="94"/>
      <c r="H319" s="63"/>
      <c r="I319" s="63"/>
      <c r="J319" s="63"/>
      <c r="K319" s="63"/>
    </row>
    <row r="320" spans="1:11" ht="15" customHeight="1" x14ac:dyDescent="0.25">
      <c r="A320" s="86" t="s">
        <v>677</v>
      </c>
      <c r="B320" t="s">
        <v>955</v>
      </c>
      <c r="D320" s="92">
        <v>46388</v>
      </c>
      <c r="E320" s="93">
        <v>9.3100000000000002E-2</v>
      </c>
      <c r="F320" s="107">
        <f>AVERAGE(E320:E321)</f>
        <v>0.17375000000000002</v>
      </c>
    </row>
    <row r="321" spans="1:11" ht="15" customHeight="1" x14ac:dyDescent="0.25">
      <c r="A321" s="87" t="s">
        <v>677</v>
      </c>
      <c r="B321" s="63" t="s">
        <v>956</v>
      </c>
      <c r="C321" s="63"/>
      <c r="D321" s="95">
        <v>46388</v>
      </c>
      <c r="E321" s="96">
        <v>0.25440000000000002</v>
      </c>
      <c r="F321" s="106"/>
      <c r="G321" s="94"/>
      <c r="H321" s="63"/>
      <c r="I321" s="63"/>
      <c r="J321" s="63"/>
      <c r="K321" s="63"/>
    </row>
  </sheetData>
  <autoFilter ref="A1:L321" xr:uid="{24FC61E2-0458-46A9-AC29-689877904792}"/>
  <mergeCells count="71">
    <mergeCell ref="F153:F154"/>
    <mergeCell ref="F141:F145"/>
    <mergeCell ref="F183:F186"/>
    <mergeCell ref="F80:F84"/>
    <mergeCell ref="F85:F89"/>
    <mergeCell ref="F260:F276"/>
    <mergeCell ref="F254:F259"/>
    <mergeCell ref="F251:F253"/>
    <mergeCell ref="F243:F250"/>
    <mergeCell ref="F2:F5"/>
    <mergeCell ref="F12:F18"/>
    <mergeCell ref="F218:F223"/>
    <mergeCell ref="F38:F39"/>
    <mergeCell ref="F43:F55"/>
    <mergeCell ref="F19:F29"/>
    <mergeCell ref="F30:F34"/>
    <mergeCell ref="F56:F64"/>
    <mergeCell ref="F35:F37"/>
    <mergeCell ref="F40:F42"/>
    <mergeCell ref="F74:F79"/>
    <mergeCell ref="F65:F66"/>
    <mergeCell ref="F306:F307"/>
    <mergeCell ref="F308:F319"/>
    <mergeCell ref="F320:F321"/>
    <mergeCell ref="F285:F292"/>
    <mergeCell ref="F277:F282"/>
    <mergeCell ref="F293:F305"/>
    <mergeCell ref="F283:F284"/>
    <mergeCell ref="G56:G64"/>
    <mergeCell ref="G40:G42"/>
    <mergeCell ref="G35:G37"/>
    <mergeCell ref="G30:G34"/>
    <mergeCell ref="G19:G29"/>
    <mergeCell ref="G228:G240"/>
    <mergeCell ref="G241:G242"/>
    <mergeCell ref="G283:G284"/>
    <mergeCell ref="G293:G305"/>
    <mergeCell ref="G224:G227"/>
    <mergeCell ref="G187:G198"/>
    <mergeCell ref="G135:G140"/>
    <mergeCell ref="G125:G134"/>
    <mergeCell ref="G119:G124"/>
    <mergeCell ref="G113:G118"/>
    <mergeCell ref="G105:G112"/>
    <mergeCell ref="G99:G104"/>
    <mergeCell ref="G85:G89"/>
    <mergeCell ref="G80:G84"/>
    <mergeCell ref="G74:G79"/>
    <mergeCell ref="F125:F134"/>
    <mergeCell ref="F113:F118"/>
    <mergeCell ref="F187:F198"/>
    <mergeCell ref="F241:F242"/>
    <mergeCell ref="F135:F140"/>
    <mergeCell ref="F119:F124"/>
    <mergeCell ref="F224:F227"/>
    <mergeCell ref="F228:F240"/>
    <mergeCell ref="F207:F217"/>
    <mergeCell ref="F204:F206"/>
    <mergeCell ref="F199:F203"/>
    <mergeCell ref="F177:F182"/>
    <mergeCell ref="F173:F176"/>
    <mergeCell ref="F161:F172"/>
    <mergeCell ref="F155:F160"/>
    <mergeCell ref="F146:F152"/>
    <mergeCell ref="F6:F7"/>
    <mergeCell ref="F8:F11"/>
    <mergeCell ref="F96:F98"/>
    <mergeCell ref="F105:F112"/>
    <mergeCell ref="F99:F104"/>
    <mergeCell ref="F67:F73"/>
    <mergeCell ref="F90:F9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B7F40-64F8-466D-B528-9308575EB45B}">
  <sheetPr codeName="Sheet2"/>
  <dimension ref="A1:D21"/>
  <sheetViews>
    <sheetView workbookViewId="0">
      <selection activeCell="D11" sqref="D11"/>
    </sheetView>
  </sheetViews>
  <sheetFormatPr defaultRowHeight="15" x14ac:dyDescent="0.25"/>
  <cols>
    <col min="1" max="1" width="5.5703125" bestFit="1" customWidth="1"/>
    <col min="2" max="2" width="163.28515625" bestFit="1" customWidth="1"/>
    <col min="3" max="3" width="12.5703125" bestFit="1" customWidth="1"/>
    <col min="4" max="4" width="40.85546875" bestFit="1" customWidth="1"/>
  </cols>
  <sheetData>
    <row r="1" spans="1:4" x14ac:dyDescent="0.25">
      <c r="A1" t="s">
        <v>0</v>
      </c>
      <c r="B1" t="s">
        <v>957</v>
      </c>
      <c r="C1" t="s">
        <v>958</v>
      </c>
      <c r="D1" t="s">
        <v>684</v>
      </c>
    </row>
    <row r="2" spans="1:4" x14ac:dyDescent="0.25">
      <c r="A2" s="71" t="s">
        <v>50</v>
      </c>
      <c r="B2" s="20" t="s">
        <v>959</v>
      </c>
      <c r="D2" t="s">
        <v>960</v>
      </c>
    </row>
    <row r="3" spans="1:4" x14ac:dyDescent="0.25">
      <c r="A3" s="71" t="s">
        <v>75</v>
      </c>
      <c r="B3" s="20" t="s">
        <v>961</v>
      </c>
      <c r="D3" t="s">
        <v>962</v>
      </c>
    </row>
    <row r="4" spans="1:4" x14ac:dyDescent="0.25">
      <c r="A4" s="71" t="s">
        <v>88</v>
      </c>
      <c r="B4" s="20" t="s">
        <v>963</v>
      </c>
    </row>
    <row r="5" spans="1:4" x14ac:dyDescent="0.25">
      <c r="A5" s="74" t="s">
        <v>103</v>
      </c>
      <c r="B5" s="20" t="s">
        <v>964</v>
      </c>
    </row>
    <row r="6" spans="1:4" x14ac:dyDescent="0.25">
      <c r="A6" s="68" t="s">
        <v>138</v>
      </c>
      <c r="B6" s="20" t="s">
        <v>965</v>
      </c>
      <c r="D6" t="s">
        <v>966</v>
      </c>
    </row>
    <row r="7" spans="1:4" x14ac:dyDescent="0.25">
      <c r="A7" s="71" t="s">
        <v>180</v>
      </c>
      <c r="B7" s="20" t="s">
        <v>967</v>
      </c>
    </row>
    <row r="8" spans="1:4" x14ac:dyDescent="0.25">
      <c r="A8" s="68" t="s">
        <v>193</v>
      </c>
      <c r="B8" s="20" t="s">
        <v>968</v>
      </c>
    </row>
    <row r="9" spans="1:4" x14ac:dyDescent="0.25">
      <c r="A9" s="71" t="s">
        <v>203</v>
      </c>
      <c r="B9" s="20" t="s">
        <v>969</v>
      </c>
    </row>
    <row r="10" spans="1:4" x14ac:dyDescent="0.25">
      <c r="A10" s="71" t="s">
        <v>223</v>
      </c>
      <c r="B10" s="20" t="s">
        <v>970</v>
      </c>
    </row>
    <row r="11" spans="1:4" x14ac:dyDescent="0.25">
      <c r="A11" t="s">
        <v>259</v>
      </c>
      <c r="B11" s="20" t="s">
        <v>971</v>
      </c>
      <c r="D11" t="s">
        <v>972</v>
      </c>
    </row>
    <row r="12" spans="1:4" x14ac:dyDescent="0.25">
      <c r="A12" s="71" t="s">
        <v>238</v>
      </c>
      <c r="B12" s="20" t="s">
        <v>973</v>
      </c>
    </row>
    <row r="13" spans="1:4" x14ac:dyDescent="0.25">
      <c r="A13" s="71" t="s">
        <v>249</v>
      </c>
      <c r="B13" s="20" t="s">
        <v>974</v>
      </c>
      <c r="D13" t="s">
        <v>975</v>
      </c>
    </row>
    <row r="14" spans="1:4" x14ac:dyDescent="0.25">
      <c r="A14" s="71" t="s">
        <v>274</v>
      </c>
      <c r="B14" s="20" t="s">
        <v>976</v>
      </c>
    </row>
    <row r="15" spans="1:4" x14ac:dyDescent="0.25">
      <c r="A15" s="71" t="s">
        <v>296</v>
      </c>
      <c r="B15" s="20" t="s">
        <v>977</v>
      </c>
    </row>
    <row r="16" spans="1:4" x14ac:dyDescent="0.25">
      <c r="A16" s="68" t="s">
        <v>845</v>
      </c>
      <c r="B16" s="20" t="s">
        <v>978</v>
      </c>
    </row>
    <row r="17" spans="1:4" x14ac:dyDescent="0.25">
      <c r="A17" s="71" t="s">
        <v>484</v>
      </c>
      <c r="B17" s="20" t="s">
        <v>979</v>
      </c>
    </row>
    <row r="18" spans="1:4" ht="45" x14ac:dyDescent="0.25">
      <c r="A18" s="71" t="s">
        <v>495</v>
      </c>
      <c r="B18" s="20" t="s">
        <v>980</v>
      </c>
      <c r="D18" s="80" t="s">
        <v>981</v>
      </c>
    </row>
    <row r="19" spans="1:4" x14ac:dyDescent="0.25">
      <c r="A19" s="71" t="s">
        <v>526</v>
      </c>
      <c r="B19" s="20" t="s">
        <v>982</v>
      </c>
    </row>
    <row r="20" spans="1:4" x14ac:dyDescent="0.25">
      <c r="A20" s="74" t="s">
        <v>606</v>
      </c>
      <c r="B20" s="20" t="s">
        <v>983</v>
      </c>
    </row>
    <row r="21" spans="1:4" x14ac:dyDescent="0.25">
      <c r="A21" s="71" t="s">
        <v>623</v>
      </c>
      <c r="B21" s="20" t="s">
        <v>984</v>
      </c>
    </row>
  </sheetData>
  <hyperlinks>
    <hyperlink ref="B15" r:id="rId1" xr:uid="{7C476B2D-9C06-4889-A4B3-F840B543CC25}"/>
    <hyperlink ref="B13" r:id="rId2" xr:uid="{7F976F0F-220E-4B43-AB48-A2B228235CBD}"/>
    <hyperlink ref="B4" r:id="rId3" xr:uid="{11CD0C70-9003-4018-82A3-F52B56D3A45E}"/>
    <hyperlink ref="B12" r:id="rId4" xr:uid="{98ED05A5-D1FA-40B3-83FE-E93AC3C08DCA}"/>
    <hyperlink ref="B5" r:id="rId5" xr:uid="{5BB21F6E-C7F5-4B14-AD92-59AD4537A286}"/>
    <hyperlink ref="B11" r:id="rId6" xr:uid="{06F304A8-EFE5-444F-84A4-F1978C4B38B3}"/>
    <hyperlink ref="B7" r:id="rId7" xr:uid="{84538ED8-B222-4DA4-8150-0EC0A506ADB7}"/>
    <hyperlink ref="B16" r:id="rId8" xr:uid="{39D2D9BB-B650-4F62-8383-3813F7ABE83A}"/>
    <hyperlink ref="B8" r:id="rId9" xr:uid="{261C3E8D-3934-4430-BD60-77E894D743A4}"/>
    <hyperlink ref="B19" r:id="rId10" xr:uid="{2E2CC670-8570-412C-9940-134D07EE9DF6}"/>
    <hyperlink ref="B17" r:id="rId11" xr:uid="{8CEB261D-A78A-40FC-A563-DF3E9BB5CA5E}"/>
    <hyperlink ref="B21" r:id="rId12" xr:uid="{A1653DD3-6BF8-435E-B0EB-4F85D73370BB}"/>
    <hyperlink ref="B9" r:id="rId13" xr:uid="{1BEA069D-8F77-4BFD-890A-3D2C9812797B}"/>
    <hyperlink ref="B20" r:id="rId14" xr:uid="{2C7131B2-855F-48AB-9C37-4B93D116A1E9}"/>
    <hyperlink ref="B3" r:id="rId15" xr:uid="{8C0DB3D8-8CEF-43C1-BBE0-261D1638BB9F}"/>
    <hyperlink ref="B2" r:id="rId16" xr:uid="{5D9140B0-9419-4E4E-87E4-4043118575E4}"/>
    <hyperlink ref="B18" r:id="rId17" xr:uid="{2583E88B-4102-4AF7-A19F-03106A3DCFCF}"/>
    <hyperlink ref="B6" r:id="rId18" xr:uid="{391D9771-DDBE-401D-B794-95F6C321AC40}"/>
    <hyperlink ref="B10" r:id="rId19" xr:uid="{70111A3B-B1D6-4636-A78E-0D3B584F8534}"/>
    <hyperlink ref="B14" r:id="rId20" xr:uid="{68FD9BE6-7346-49B1-84AB-A313A4B5535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03C21-2483-47AF-B8AA-C741BC0B5401}">
  <dimension ref="A1:B52"/>
  <sheetViews>
    <sheetView workbookViewId="0">
      <selection activeCell="B54" sqref="B54"/>
    </sheetView>
  </sheetViews>
  <sheetFormatPr defaultRowHeight="15" x14ac:dyDescent="0.25"/>
  <cols>
    <col min="1" max="1" width="15" bestFit="1" customWidth="1"/>
    <col min="2" max="2" width="6.85546875" bestFit="1" customWidth="1"/>
  </cols>
  <sheetData>
    <row r="1" spans="1:2" x14ac:dyDescent="0.25">
      <c r="A1" s="62" t="s">
        <v>0</v>
      </c>
      <c r="B1" s="62" t="s">
        <v>985</v>
      </c>
    </row>
    <row r="2" spans="1:2" x14ac:dyDescent="0.25">
      <c r="A2" t="s">
        <v>986</v>
      </c>
    </row>
    <row r="3" spans="1:2" x14ac:dyDescent="0.25">
      <c r="A3" t="s">
        <v>987</v>
      </c>
    </row>
    <row r="4" spans="1:2" x14ac:dyDescent="0.25">
      <c r="A4" t="s">
        <v>988</v>
      </c>
    </row>
    <row r="5" spans="1:2" x14ac:dyDescent="0.25">
      <c r="A5" t="s">
        <v>989</v>
      </c>
    </row>
    <row r="6" spans="1:2" x14ac:dyDescent="0.25">
      <c r="A6" t="s">
        <v>990</v>
      </c>
    </row>
    <row r="7" spans="1:2" x14ac:dyDescent="0.25">
      <c r="A7" t="s">
        <v>991</v>
      </c>
    </row>
    <row r="8" spans="1:2" x14ac:dyDescent="0.25">
      <c r="A8" t="s">
        <v>992</v>
      </c>
      <c r="B8" t="s">
        <v>993</v>
      </c>
    </row>
    <row r="9" spans="1:2" x14ac:dyDescent="0.25">
      <c r="A9" t="s">
        <v>103</v>
      </c>
      <c r="B9" t="s">
        <v>993</v>
      </c>
    </row>
    <row r="10" spans="1:2" x14ac:dyDescent="0.25">
      <c r="A10" t="s">
        <v>994</v>
      </c>
    </row>
    <row r="11" spans="1:2" x14ac:dyDescent="0.25">
      <c r="A11" t="s">
        <v>995</v>
      </c>
    </row>
    <row r="12" spans="1:2" x14ac:dyDescent="0.25">
      <c r="A12" t="s">
        <v>996</v>
      </c>
    </row>
    <row r="13" spans="1:2" x14ac:dyDescent="0.25">
      <c r="A13" t="s">
        <v>997</v>
      </c>
    </row>
    <row r="14" spans="1:2" x14ac:dyDescent="0.25">
      <c r="A14" t="s">
        <v>998</v>
      </c>
    </row>
    <row r="15" spans="1:2" x14ac:dyDescent="0.25">
      <c r="A15" t="s">
        <v>999</v>
      </c>
      <c r="B15" t="s">
        <v>993</v>
      </c>
    </row>
    <row r="16" spans="1:2" x14ac:dyDescent="0.25">
      <c r="A16" t="s">
        <v>1000</v>
      </c>
      <c r="B16" t="s">
        <v>993</v>
      </c>
    </row>
    <row r="17" spans="1:2" x14ac:dyDescent="0.25">
      <c r="A17" t="s">
        <v>1001</v>
      </c>
    </row>
    <row r="18" spans="1:2" x14ac:dyDescent="0.25">
      <c r="A18" t="s">
        <v>1002</v>
      </c>
    </row>
    <row r="19" spans="1:2" x14ac:dyDescent="0.25">
      <c r="A19" t="s">
        <v>1003</v>
      </c>
    </row>
    <row r="20" spans="1:2" x14ac:dyDescent="0.25">
      <c r="A20" t="s">
        <v>1004</v>
      </c>
    </row>
    <row r="21" spans="1:2" x14ac:dyDescent="0.25">
      <c r="A21" t="s">
        <v>1005</v>
      </c>
      <c r="B21" t="s">
        <v>993</v>
      </c>
    </row>
    <row r="22" spans="1:2" x14ac:dyDescent="0.25">
      <c r="A22" t="s">
        <v>1006</v>
      </c>
      <c r="B22" t="s">
        <v>993</v>
      </c>
    </row>
    <row r="23" spans="1:2" x14ac:dyDescent="0.25">
      <c r="A23" t="s">
        <v>1007</v>
      </c>
      <c r="B23" t="s">
        <v>993</v>
      </c>
    </row>
    <row r="24" spans="1:2" x14ac:dyDescent="0.25">
      <c r="A24" t="s">
        <v>1008</v>
      </c>
    </row>
    <row r="25" spans="1:2" x14ac:dyDescent="0.25">
      <c r="A25" t="s">
        <v>1009</v>
      </c>
      <c r="B25" t="s">
        <v>993</v>
      </c>
    </row>
    <row r="26" spans="1:2" x14ac:dyDescent="0.25">
      <c r="A26" t="s">
        <v>1010</v>
      </c>
    </row>
    <row r="27" spans="1:2" x14ac:dyDescent="0.25">
      <c r="A27" t="s">
        <v>1011</v>
      </c>
    </row>
    <row r="28" spans="1:2" x14ac:dyDescent="0.25">
      <c r="A28" t="s">
        <v>1012</v>
      </c>
    </row>
    <row r="29" spans="1:2" x14ac:dyDescent="0.25">
      <c r="A29" t="s">
        <v>1013</v>
      </c>
    </row>
    <row r="30" spans="1:2" x14ac:dyDescent="0.25">
      <c r="A30" t="s">
        <v>1014</v>
      </c>
    </row>
    <row r="31" spans="1:2" x14ac:dyDescent="0.25">
      <c r="A31" t="s">
        <v>1015</v>
      </c>
    </row>
    <row r="32" spans="1:2" x14ac:dyDescent="0.25">
      <c r="A32" t="s">
        <v>1016</v>
      </c>
    </row>
    <row r="33" spans="1:2" x14ac:dyDescent="0.25">
      <c r="A33" t="s">
        <v>1017</v>
      </c>
    </row>
    <row r="34" spans="1:2" x14ac:dyDescent="0.25">
      <c r="A34" t="s">
        <v>1018</v>
      </c>
      <c r="B34" t="s">
        <v>993</v>
      </c>
    </row>
    <row r="35" spans="1:2" x14ac:dyDescent="0.25">
      <c r="A35" t="s">
        <v>1019</v>
      </c>
    </row>
    <row r="36" spans="1:2" x14ac:dyDescent="0.25">
      <c r="A36" t="s">
        <v>1020</v>
      </c>
    </row>
    <row r="37" spans="1:2" x14ac:dyDescent="0.25">
      <c r="A37" t="s">
        <v>1021</v>
      </c>
    </row>
    <row r="38" spans="1:2" x14ac:dyDescent="0.25">
      <c r="A38" t="s">
        <v>1022</v>
      </c>
    </row>
    <row r="39" spans="1:2" x14ac:dyDescent="0.25">
      <c r="A39" t="s">
        <v>1023</v>
      </c>
    </row>
    <row r="40" spans="1:2" x14ac:dyDescent="0.25">
      <c r="A40" t="s">
        <v>1024</v>
      </c>
    </row>
    <row r="41" spans="1:2" x14ac:dyDescent="0.25">
      <c r="A41" t="s">
        <v>1025</v>
      </c>
      <c r="B41" t="s">
        <v>993</v>
      </c>
    </row>
    <row r="42" spans="1:2" x14ac:dyDescent="0.25">
      <c r="A42" t="s">
        <v>1026</v>
      </c>
    </row>
    <row r="43" spans="1:2" x14ac:dyDescent="0.25">
      <c r="A43" t="s">
        <v>1027</v>
      </c>
    </row>
    <row r="44" spans="1:2" x14ac:dyDescent="0.25">
      <c r="A44" t="s">
        <v>1028</v>
      </c>
    </row>
    <row r="45" spans="1:2" x14ac:dyDescent="0.25">
      <c r="A45" t="s">
        <v>1029</v>
      </c>
    </row>
    <row r="46" spans="1:2" x14ac:dyDescent="0.25">
      <c r="A46" t="s">
        <v>1030</v>
      </c>
    </row>
    <row r="47" spans="1:2" x14ac:dyDescent="0.25">
      <c r="A47" t="s">
        <v>1031</v>
      </c>
    </row>
    <row r="48" spans="1:2" x14ac:dyDescent="0.25">
      <c r="A48" t="s">
        <v>1032</v>
      </c>
    </row>
    <row r="49" spans="1:1" x14ac:dyDescent="0.25">
      <c r="A49" t="s">
        <v>1033</v>
      </c>
    </row>
    <row r="50" spans="1:1" x14ac:dyDescent="0.25">
      <c r="A50" t="s">
        <v>1034</v>
      </c>
    </row>
    <row r="51" spans="1:1" x14ac:dyDescent="0.25">
      <c r="A51" t="s">
        <v>1035</v>
      </c>
    </row>
    <row r="52" spans="1:1" x14ac:dyDescent="0.25">
      <c r="A52" t="s">
        <v>1036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02DDCCD22B8D47A40203C01FED5AB7" ma:contentTypeVersion="11" ma:contentTypeDescription="Create a new document." ma:contentTypeScope="" ma:versionID="0ac7f1d47e2d429317bb6c8cde5b027e">
  <xsd:schema xmlns:xsd="http://www.w3.org/2001/XMLSchema" xmlns:xs="http://www.w3.org/2001/XMLSchema" xmlns:p="http://schemas.microsoft.com/office/2006/metadata/properties" xmlns:ns2="955a8685-5b16-4f9a-87fa-e2c4fb3b3613" xmlns:ns3="161aef07-85d6-4563-8983-e5ae265d1969" targetNamespace="http://schemas.microsoft.com/office/2006/metadata/properties" ma:root="true" ma:fieldsID="72947c59c283cec0fd4c3fde141fc3a5" ns2:_="" ns3:_="">
    <xsd:import namespace="955a8685-5b16-4f9a-87fa-e2c4fb3b3613"/>
    <xsd:import namespace="161aef07-85d6-4563-8983-e5ae265d19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5a8685-5b16-4f9a-87fa-e2c4fb3b36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27374f5-c664-4f3a-8977-f190bdc506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1aef07-85d6-4563-8983-e5ae265d19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941bf7f-fb73-4609-b530-fb0ccb210d8e}" ma:internalName="TaxCatchAll" ma:showField="CatchAllData" ma:web="161aef07-85d6-4563-8983-e5ae265d19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5a8685-5b16-4f9a-87fa-e2c4fb3b3613">
      <Terms xmlns="http://schemas.microsoft.com/office/infopath/2007/PartnerControls"/>
    </lcf76f155ced4ddcb4097134ff3c332f>
    <TaxCatchAll xmlns="161aef07-85d6-4563-8983-e5ae265d196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2C3F7B-283B-4F7F-BA9D-EBFD38D6AB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5a8685-5b16-4f9a-87fa-e2c4fb3b3613"/>
    <ds:schemaRef ds:uri="161aef07-85d6-4563-8983-e5ae265d19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A2D02C-B915-4EB8-9533-9DE1425DDC08}">
  <ds:schemaRefs>
    <ds:schemaRef ds:uri="http://schemas.microsoft.com/office/2006/metadata/properties"/>
    <ds:schemaRef ds:uri="http://schemas.microsoft.com/office/infopath/2007/PartnerControls"/>
    <ds:schemaRef ds:uri="955a8685-5b16-4f9a-87fa-e2c4fb3b3613"/>
    <ds:schemaRef ds:uri="161aef07-85d6-4563-8983-e5ae265d1969"/>
  </ds:schemaRefs>
</ds:datastoreItem>
</file>

<file path=customXml/itemProps3.xml><?xml version="1.0" encoding="utf-8"?>
<ds:datastoreItem xmlns:ds="http://schemas.openxmlformats.org/officeDocument/2006/customXml" ds:itemID="{3A544714-1CA7-4615-9198-F5D81006884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2027</vt:lpstr>
      <vt:lpstr>2026</vt:lpstr>
      <vt:lpstr>2027-OLD</vt:lpstr>
      <vt:lpstr>2027 prelim sources</vt:lpstr>
      <vt:lpstr>State Checker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Shane Martin</dc:creator>
  <cp:keywords/>
  <dc:description/>
  <cp:lastModifiedBy>Kellan Campbell</cp:lastModifiedBy>
  <cp:revision/>
  <dcterms:created xsi:type="dcterms:W3CDTF">2026-06-25T20:51:48Z</dcterms:created>
  <dcterms:modified xsi:type="dcterms:W3CDTF">2026-08-04T19:02:53Z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0x0101000602DDCCD22B8D47A40203C01FED5AB7</vt:lpwstr>
  </property>
  <property fmtid="{D5CDD505-2E9C-101B-9397-08002B2CF9AE}" pid="3" name="MediaServiceImageTags">
    <vt:lpwstr/>
  </property>
</Properties>
</file>